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Test Cases" sheetId="2" state="visible" r:id="rId2"/>
    <sheet name="End-to-End Workflow" sheetId="3" state="visible" r:id="rId3"/>
    <sheet name="Summary" sheetId="4" state="visible" r:id="rId4"/>
  </sheets>
  <definedNames>
    <definedName name="_xlnm._FilterDatabase" localSheetId="1" hidden="1">'Test Cases'!$A$1:$J$138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C0652B"/>
      <sz val="14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652B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1" fillId="0" borderId="0" pivotButton="0" quotePrefix="0" xfId="0"/>
    <xf numFmtId="0" fontId="2" fillId="3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4" fillId="2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1" fillId="0" borderId="1" pivotButton="0" quotePrefix="0" xfId="0"/>
    <xf numFmtId="9" fontId="1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FFE8A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Hostel Management System: test cases</t>
        </is>
      </c>
      <c r="B1" s="2" t="inlineStr"/>
    </row>
    <row r="2">
      <c r="A2" s="3" t="inlineStr"/>
      <c r="B2" s="2" t="inlineStr"/>
    </row>
    <row r="3">
      <c r="A3" s="4" t="inlineStr">
        <is>
          <t>Sheet</t>
        </is>
      </c>
      <c r="B3" s="5" t="inlineStr">
        <is>
          <t>What it holds</t>
        </is>
      </c>
    </row>
    <row r="4">
      <c r="A4" s="3" t="inlineStr">
        <is>
          <t>Test Cases</t>
        </is>
      </c>
      <c r="B4" s="2" t="inlineStr">
        <is>
          <t>One row per test, grouped by module (screen).</t>
        </is>
      </c>
    </row>
    <row r="5">
      <c r="A5" s="3" t="inlineStr">
        <is>
          <t>End-to-End Workflow</t>
        </is>
      </c>
      <c r="B5" s="2" t="inlineStr">
        <is>
          <t>The full daily cycle from installation to check-out, in order.</t>
        </is>
      </c>
    </row>
    <row r="6">
      <c r="A6" s="3" t="inlineStr">
        <is>
          <t>Summary</t>
        </is>
      </c>
      <c r="B6" s="2" t="inlineStr">
        <is>
          <t>Counts per module, filled in automatically from the Status column.</t>
        </is>
      </c>
    </row>
    <row r="7">
      <c r="A7" s="3" t="inlineStr"/>
      <c r="B7" s="2" t="inlineStr"/>
    </row>
    <row r="8">
      <c r="A8" s="6" t="inlineStr">
        <is>
          <t>Columns to fill in (light yellow)</t>
        </is>
      </c>
      <c r="B8" s="2" t="inlineStr"/>
    </row>
    <row r="9">
      <c r="A9" s="7" t="inlineStr">
        <is>
          <t>Status</t>
        </is>
      </c>
      <c r="B9" s="2" t="inlineStr">
        <is>
          <t>Choose Not run, Pass, Fail or Blocked from the list.</t>
        </is>
      </c>
    </row>
    <row r="10">
      <c r="A10" s="7" t="inlineStr">
        <is>
          <t>Tested by / Date</t>
        </is>
      </c>
      <c r="B10" s="2" t="inlineStr">
        <is>
          <t>Who ran the test and when.</t>
        </is>
      </c>
    </row>
    <row r="11">
      <c r="A11" s="7" t="inlineStr">
        <is>
          <t>Remarks</t>
        </is>
      </c>
      <c r="B11" s="2" t="inlineStr">
        <is>
          <t>What went wrong, with a screenshot name if useful.</t>
        </is>
      </c>
    </row>
    <row r="12">
      <c r="A12" s="3" t="inlineStr"/>
      <c r="B12" s="2" t="inlineStr"/>
    </row>
    <row r="13">
      <c r="A13" s="3" t="inlineStr">
        <is>
          <t>Example of a filled row</t>
        </is>
      </c>
      <c r="B13" s="2" t="inlineStr">
        <is>
          <t>TC-001 | Installation | ... | Status: Pass | Tested by: Vikas | Date: 08-Oct-2026 | Remarks: (empty)</t>
        </is>
      </c>
    </row>
    <row r="14">
      <c r="A14" s="3" t="inlineStr"/>
      <c r="B14" s="2" t="inlineStr"/>
    </row>
    <row r="15">
      <c r="A15" s="3" t="inlineStr">
        <is>
          <t>Before testing</t>
        </is>
      </c>
      <c r="B15" s="2" t="inlineStr">
        <is>
          <t>Use a test database: install on a test PC, or take Backup Now first and restore it afterwards. Use your own email address as the parent's email.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30" customWidth="1" min="3" max="3"/>
    <col width="55" customWidth="1" min="4" max="4"/>
    <col width="55" customWidth="1" min="5" max="5"/>
    <col width="9" customWidth="1" min="6" max="6"/>
    <col width="11" customWidth="1" min="7" max="7"/>
    <col width="13" customWidth="1" min="8" max="8"/>
    <col width="12" customWidth="1" min="9" max="9"/>
    <col width="30" customWidth="1" min="10" max="10"/>
  </cols>
  <sheetData>
    <row r="1">
      <c r="A1" s="8" t="inlineStr">
        <is>
          <t>ID</t>
        </is>
      </c>
      <c r="B1" s="8" t="inlineStr">
        <is>
          <t>Module</t>
        </is>
      </c>
      <c r="C1" s="8" t="inlineStr">
        <is>
          <t>Test case</t>
        </is>
      </c>
      <c r="D1" s="8" t="inlineStr">
        <is>
          <t>Steps</t>
        </is>
      </c>
      <c r="E1" s="8" t="inlineStr">
        <is>
          <t>Expected result</t>
        </is>
      </c>
      <c r="F1" s="8" t="inlineStr">
        <is>
          <t>Priority</t>
        </is>
      </c>
      <c r="G1" s="8" t="inlineStr">
        <is>
          <t>Status</t>
        </is>
      </c>
      <c r="H1" s="8" t="inlineStr">
        <is>
          <t>Tested by</t>
        </is>
      </c>
      <c r="I1" s="8" t="inlineStr">
        <is>
          <t>Date</t>
        </is>
      </c>
      <c r="J1" s="8" t="inlineStr">
        <is>
          <t>Remarks</t>
        </is>
      </c>
    </row>
    <row r="2">
      <c r="A2" s="9" t="inlineStr">
        <is>
          <t>TC-001</t>
        </is>
      </c>
      <c r="B2" s="9" t="inlineStr">
        <is>
          <t>Installation</t>
        </is>
      </c>
      <c r="C2" s="9" t="inlineStr">
        <is>
          <t>Install on a new PC</t>
        </is>
      </c>
      <c r="D2" s="9" t="inlineStr">
        <is>
          <t>Run HostelManagement-Setup.exe &gt; More info &gt; Run anyway &gt; keep C:\HostelManagement &gt; tick desktop shortcut &gt; Install</t>
        </is>
      </c>
      <c r="E2" s="9" t="inlineStr">
        <is>
          <t>Program installs to C:\HostelManagement; desktop and Start menu shortcuts created; program starts</t>
        </is>
      </c>
      <c r="F2" s="9" t="inlineStr">
        <is>
          <t>High</t>
        </is>
      </c>
      <c r="G2" s="10" t="inlineStr">
        <is>
          <t>Not run</t>
        </is>
      </c>
      <c r="H2" s="10" t="inlineStr"/>
      <c r="I2" s="11" t="inlineStr"/>
      <c r="J2" s="10" t="inlineStr"/>
    </row>
    <row r="3">
      <c r="A3" s="9" t="inlineStr">
        <is>
          <t>TC-002</t>
        </is>
      </c>
      <c r="B3" s="9" t="inlineStr">
        <is>
          <t>Installation</t>
        </is>
      </c>
      <c r="C3" s="9" t="inlineStr">
        <is>
          <t>Access Database Engine missing</t>
        </is>
      </c>
      <c r="D3" s="9" t="inlineStr">
        <is>
          <t>Install on a PC without the 64 bit Access Database Engine</t>
        </is>
      </c>
      <c r="E3" s="9" t="inlineStr">
        <is>
          <t>Setup shows a message and offers to open the Microsoft download page</t>
        </is>
      </c>
      <c r="F3" s="9" t="inlineStr">
        <is>
          <t>High</t>
        </is>
      </c>
      <c r="G3" s="10" t="inlineStr">
        <is>
          <t>Not run</t>
        </is>
      </c>
      <c r="H3" s="10" t="inlineStr"/>
      <c r="I3" s="11" t="inlineStr"/>
      <c r="J3" s="10" t="inlineStr"/>
    </row>
    <row r="4">
      <c r="A4" s="9" t="inlineStr">
        <is>
          <t>TC-003</t>
        </is>
      </c>
      <c r="B4" s="9" t="inlineStr">
        <is>
          <t>Installation</t>
        </is>
      </c>
      <c r="C4" s="9" t="inlineStr">
        <is>
          <t>Access Database Engine installed</t>
        </is>
      </c>
      <c r="D4" s="9" t="inlineStr">
        <is>
          <t>Install accessdatabaseengine_X64.exe, start the program</t>
        </is>
      </c>
      <c r="E4" s="9" t="inlineStr">
        <is>
          <t>Sign in screen opens, no engine error</t>
        </is>
      </c>
      <c r="F4" s="9" t="inlineStr">
        <is>
          <t>High</t>
        </is>
      </c>
      <c r="G4" s="10" t="inlineStr">
        <is>
          <t>Not run</t>
        </is>
      </c>
      <c r="H4" s="10" t="inlineStr"/>
      <c r="I4" s="11" t="inlineStr"/>
      <c r="J4" s="10" t="inlineStr"/>
    </row>
    <row r="5">
      <c r="A5" s="9" t="inlineStr">
        <is>
          <t>TC-004</t>
        </is>
      </c>
      <c r="B5" s="9" t="inlineStr">
        <is>
          <t>Installation</t>
        </is>
      </c>
      <c r="C5" s="9" t="inlineStr">
        <is>
          <t>First start creates folders</t>
        </is>
      </c>
      <c r="D5" s="9" t="inlineStr">
        <is>
          <t>After first start open C:\HostelManagement</t>
        </is>
      </c>
      <c r="E5" s="9" t="inlineStr">
        <is>
          <t>Folders Database, Photos, Documents, Invoices, Receipts, Reports, Agreements, Backups, Logs exist</t>
        </is>
      </c>
      <c r="F5" s="9" t="inlineStr">
        <is>
          <t>Medium</t>
        </is>
      </c>
      <c r="G5" s="10" t="inlineStr">
        <is>
          <t>Not run</t>
        </is>
      </c>
      <c r="H5" s="10" t="inlineStr"/>
      <c r="I5" s="11" t="inlineStr"/>
      <c r="J5" s="10" t="inlineStr"/>
    </row>
    <row r="6">
      <c r="A6" s="9" t="inlineStr">
        <is>
          <t>TC-005</t>
        </is>
      </c>
      <c r="B6" s="9" t="inlineStr">
        <is>
          <t>Installation</t>
        </is>
      </c>
      <c r="C6" s="9" t="inlineStr">
        <is>
          <t>Update keeps data</t>
        </is>
      </c>
      <c r="D6" s="9" t="inlineStr">
        <is>
          <t>Add a hostel, then run the newer setup into the same folder</t>
        </is>
      </c>
      <c r="E6" s="9" t="inlineStr">
        <is>
          <t>Program updates; the hostel and all data are still there</t>
        </is>
      </c>
      <c r="F6" s="9" t="inlineStr">
        <is>
          <t>High</t>
        </is>
      </c>
      <c r="G6" s="10" t="inlineStr">
        <is>
          <t>Not run</t>
        </is>
      </c>
      <c r="H6" s="10" t="inlineStr"/>
      <c r="I6" s="11" t="inlineStr"/>
      <c r="J6" s="10" t="inlineStr"/>
    </row>
    <row r="7">
      <c r="A7" s="9" t="inlineStr">
        <is>
          <t>TC-006</t>
        </is>
      </c>
      <c r="B7" s="9" t="inlineStr">
        <is>
          <t>Installation</t>
        </is>
      </c>
      <c r="C7" s="9" t="inlineStr">
        <is>
          <t>User guide shortcut</t>
        </is>
      </c>
      <c r="D7" s="9" t="inlineStr">
        <is>
          <t>Start menu &gt; Hostel Management System &gt; User Guide</t>
        </is>
      </c>
      <c r="E7" s="9" t="inlineStr">
        <is>
          <t>User guide PDF opens</t>
        </is>
      </c>
      <c r="F7" s="9" t="inlineStr">
        <is>
          <t>Low</t>
        </is>
      </c>
      <c r="G7" s="10" t="inlineStr">
        <is>
          <t>Not run</t>
        </is>
      </c>
      <c r="H7" s="10" t="inlineStr"/>
      <c r="I7" s="11" t="inlineStr"/>
      <c r="J7" s="10" t="inlineStr"/>
    </row>
    <row r="8">
      <c r="A8" s="9" t="inlineStr">
        <is>
          <t>TC-007</t>
        </is>
      </c>
      <c r="B8" s="9" t="inlineStr">
        <is>
          <t>Sign in</t>
        </is>
      </c>
      <c r="C8" s="9" t="inlineStr">
        <is>
          <t>Default user name filled in</t>
        </is>
      </c>
      <c r="D8" s="9" t="inlineStr">
        <is>
          <t>Start the program</t>
        </is>
      </c>
      <c r="E8" s="9" t="inlineStr">
        <is>
          <t>User name shows admin; cursor is in the password box</t>
        </is>
      </c>
      <c r="F8" s="9" t="inlineStr">
        <is>
          <t>Medium</t>
        </is>
      </c>
      <c r="G8" s="10" t="inlineStr">
        <is>
          <t>Not run</t>
        </is>
      </c>
      <c r="H8" s="10" t="inlineStr"/>
      <c r="I8" s="11" t="inlineStr"/>
      <c r="J8" s="10" t="inlineStr"/>
    </row>
    <row r="9">
      <c r="A9" s="9" t="inlineStr">
        <is>
          <t>TC-008</t>
        </is>
      </c>
      <c r="B9" s="9" t="inlineStr">
        <is>
          <t>Sign in</t>
        </is>
      </c>
      <c r="C9" s="9" t="inlineStr">
        <is>
          <t>Correct login</t>
        </is>
      </c>
      <c r="D9" s="9" t="inlineStr">
        <is>
          <t>Password admin &gt; Sign in</t>
        </is>
      </c>
      <c r="E9" s="9" t="inlineStr">
        <is>
          <t>Main window opens on the Dashboard</t>
        </is>
      </c>
      <c r="F9" s="9" t="inlineStr">
        <is>
          <t>High</t>
        </is>
      </c>
      <c r="G9" s="10" t="inlineStr">
        <is>
          <t>Not run</t>
        </is>
      </c>
      <c r="H9" s="10" t="inlineStr"/>
      <c r="I9" s="11" t="inlineStr"/>
      <c r="J9" s="10" t="inlineStr"/>
    </row>
    <row r="10">
      <c r="A10" s="9" t="inlineStr">
        <is>
          <t>TC-009</t>
        </is>
      </c>
      <c r="B10" s="9" t="inlineStr">
        <is>
          <t>Sign in</t>
        </is>
      </c>
      <c r="C10" s="9" t="inlineStr">
        <is>
          <t>Wrong password</t>
        </is>
      </c>
      <c r="D10" s="9" t="inlineStr">
        <is>
          <t>Enter a wrong password &gt; Sign in</t>
        </is>
      </c>
      <c r="E10" s="9" t="inlineStr">
        <is>
          <t>Message 'Incorrect user name or password'; password box cleared</t>
        </is>
      </c>
      <c r="F10" s="9" t="inlineStr">
        <is>
          <t>High</t>
        </is>
      </c>
      <c r="G10" s="10" t="inlineStr">
        <is>
          <t>Not run</t>
        </is>
      </c>
      <c r="H10" s="10" t="inlineStr"/>
      <c r="I10" s="11" t="inlineStr"/>
      <c r="J10" s="10" t="inlineStr"/>
    </row>
    <row r="11">
      <c r="A11" s="9" t="inlineStr">
        <is>
          <t>TC-010</t>
        </is>
      </c>
      <c r="B11" s="9" t="inlineStr">
        <is>
          <t>Sign in</t>
        </is>
      </c>
      <c r="C11" s="9" t="inlineStr">
        <is>
          <t>User name not case sensitive</t>
        </is>
      </c>
      <c r="D11" s="9" t="inlineStr">
        <is>
          <t>User name ADMIN, correct password</t>
        </is>
      </c>
      <c r="E11" s="9" t="inlineStr">
        <is>
          <t>Sign in succeeds</t>
        </is>
      </c>
      <c r="F11" s="9" t="inlineStr">
        <is>
          <t>Low</t>
        </is>
      </c>
      <c r="G11" s="10" t="inlineStr">
        <is>
          <t>Not run</t>
        </is>
      </c>
      <c r="H11" s="10" t="inlineStr"/>
      <c r="I11" s="11" t="inlineStr"/>
      <c r="J11" s="10" t="inlineStr"/>
    </row>
    <row r="12">
      <c r="A12" s="9" t="inlineStr">
        <is>
          <t>TC-011</t>
        </is>
      </c>
      <c r="B12" s="9" t="inlineStr">
        <is>
          <t>Sign in</t>
        </is>
      </c>
      <c r="C12" s="9" t="inlineStr">
        <is>
          <t>Password is case sensitive</t>
        </is>
      </c>
      <c r="D12" s="9" t="inlineStr">
        <is>
          <t>Password ADMIN</t>
        </is>
      </c>
      <c r="E12" s="9" t="inlineStr">
        <is>
          <t>Sign in refused</t>
        </is>
      </c>
      <c r="F12" s="9" t="inlineStr">
        <is>
          <t>Medium</t>
        </is>
      </c>
      <c r="G12" s="10" t="inlineStr">
        <is>
          <t>Not run</t>
        </is>
      </c>
      <c r="H12" s="10" t="inlineStr"/>
      <c r="I12" s="11" t="inlineStr"/>
      <c r="J12" s="10" t="inlineStr"/>
    </row>
    <row r="13">
      <c r="A13" s="9" t="inlineStr">
        <is>
          <t>TC-012</t>
        </is>
      </c>
      <c r="B13" s="9" t="inlineStr">
        <is>
          <t>Sign in</t>
        </is>
      </c>
      <c r="C13" s="9" t="inlineStr">
        <is>
          <t>Hostel chosen at sign in</t>
        </is>
      </c>
      <c r="D13" s="9" t="inlineStr">
        <is>
          <t>With two hostels, choose the second at sign in</t>
        </is>
      </c>
      <c r="E13" s="9" t="inlineStr">
        <is>
          <t>Main window shows the second hostel at the top right</t>
        </is>
      </c>
      <c r="F13" s="9" t="inlineStr">
        <is>
          <t>Medium</t>
        </is>
      </c>
      <c r="G13" s="10" t="inlineStr">
        <is>
          <t>Not run</t>
        </is>
      </c>
      <c r="H13" s="10" t="inlineStr"/>
      <c r="I13" s="11" t="inlineStr"/>
      <c r="J13" s="10" t="inlineStr"/>
    </row>
    <row r="14">
      <c r="A14" s="9" t="inlineStr">
        <is>
          <t>TC-013</t>
        </is>
      </c>
      <c r="B14" s="9" t="inlineStr">
        <is>
          <t>Admin Account</t>
        </is>
      </c>
      <c r="C14" s="9" t="inlineStr">
        <is>
          <t>Save admin email and phone</t>
        </is>
      </c>
      <c r="D14" s="9" t="inlineStr">
        <is>
          <t>Settings &gt; Admin Account &gt; enter email and phone &gt; Save</t>
        </is>
      </c>
      <c r="E14" s="9" t="inlineStr">
        <is>
          <t>'Saved.' shown; values kept after restarting</t>
        </is>
      </c>
      <c r="F14" s="9" t="inlineStr">
        <is>
          <t>High</t>
        </is>
      </c>
      <c r="G14" s="10" t="inlineStr">
        <is>
          <t>Not run</t>
        </is>
      </c>
      <c r="H14" s="10" t="inlineStr"/>
      <c r="I14" s="11" t="inlineStr"/>
      <c r="J14" s="10" t="inlineStr"/>
    </row>
    <row r="15">
      <c r="A15" s="9" t="inlineStr">
        <is>
          <t>TC-014</t>
        </is>
      </c>
      <c r="B15" s="9" t="inlineStr">
        <is>
          <t>Admin Account</t>
        </is>
      </c>
      <c r="C15" s="9" t="inlineStr">
        <is>
          <t>Invalid email</t>
        </is>
      </c>
      <c r="D15" s="9" t="inlineStr">
        <is>
          <t>Enter 'owner' as email &gt; Save</t>
        </is>
      </c>
      <c r="E15" s="9" t="inlineStr">
        <is>
          <t>Error 'Please enter a valid email address'</t>
        </is>
      </c>
      <c r="F15" s="9" t="inlineStr">
        <is>
          <t>Medium</t>
        </is>
      </c>
      <c r="G15" s="10" t="inlineStr">
        <is>
          <t>Not run</t>
        </is>
      </c>
      <c r="H15" s="10" t="inlineStr"/>
      <c r="I15" s="11" t="inlineStr"/>
      <c r="J15" s="10" t="inlineStr"/>
    </row>
    <row r="16">
      <c r="A16" s="9" t="inlineStr">
        <is>
          <t>TC-015</t>
        </is>
      </c>
      <c r="B16" s="9" t="inlineStr">
        <is>
          <t>Admin Account</t>
        </is>
      </c>
      <c r="C16" s="9" t="inlineStr">
        <is>
          <t>Change password</t>
        </is>
      </c>
      <c r="D16" s="9" t="inlineStr">
        <is>
          <t>Current admin, new Balaji@2026 twice &gt; Change Password</t>
        </is>
      </c>
      <c r="E16" s="9" t="inlineStr">
        <is>
          <t>Success message; next sign in works only with the new password</t>
        </is>
      </c>
      <c r="F16" s="9" t="inlineStr">
        <is>
          <t>High</t>
        </is>
      </c>
      <c r="G16" s="10" t="inlineStr">
        <is>
          <t>Not run</t>
        </is>
      </c>
      <c r="H16" s="10" t="inlineStr"/>
      <c r="I16" s="11" t="inlineStr"/>
      <c r="J16" s="10" t="inlineStr"/>
    </row>
    <row r="17">
      <c r="A17" s="9" t="inlineStr">
        <is>
          <t>TC-016</t>
        </is>
      </c>
      <c r="B17" s="9" t="inlineStr">
        <is>
          <t>Admin Account</t>
        </is>
      </c>
      <c r="C17" s="9" t="inlineStr">
        <is>
          <t>Wrong current password</t>
        </is>
      </c>
      <c r="D17" s="9" t="inlineStr">
        <is>
          <t>Wrong current password &gt; Change Password</t>
        </is>
      </c>
      <c r="E17" s="9" t="inlineStr">
        <is>
          <t>Error 'The current password is not correct'</t>
        </is>
      </c>
      <c r="F17" s="9" t="inlineStr">
        <is>
          <t>High</t>
        </is>
      </c>
      <c r="G17" s="10" t="inlineStr">
        <is>
          <t>Not run</t>
        </is>
      </c>
      <c r="H17" s="10" t="inlineStr"/>
      <c r="I17" s="11" t="inlineStr"/>
      <c r="J17" s="10" t="inlineStr"/>
    </row>
    <row r="18">
      <c r="A18" s="9" t="inlineStr">
        <is>
          <t>TC-017</t>
        </is>
      </c>
      <c r="B18" s="9" t="inlineStr">
        <is>
          <t>Admin Account</t>
        </is>
      </c>
      <c r="C18" s="9" t="inlineStr">
        <is>
          <t>Password too short</t>
        </is>
      </c>
      <c r="D18" s="9" t="inlineStr">
        <is>
          <t>New password abc</t>
        </is>
      </c>
      <c r="E18" s="9" t="inlineStr">
        <is>
          <t>Error 'at least 6 characters'</t>
        </is>
      </c>
      <c r="F18" s="9" t="inlineStr">
        <is>
          <t>Medium</t>
        </is>
      </c>
      <c r="G18" s="10" t="inlineStr">
        <is>
          <t>Not run</t>
        </is>
      </c>
      <c r="H18" s="10" t="inlineStr"/>
      <c r="I18" s="11" t="inlineStr"/>
      <c r="J18" s="10" t="inlineStr"/>
    </row>
    <row r="19">
      <c r="A19" s="9" t="inlineStr">
        <is>
          <t>TC-018</t>
        </is>
      </c>
      <c r="B19" s="9" t="inlineStr">
        <is>
          <t>Admin Account</t>
        </is>
      </c>
      <c r="C19" s="9" t="inlineStr">
        <is>
          <t>Confirmation differs</t>
        </is>
      </c>
      <c r="D19" s="9" t="inlineStr">
        <is>
          <t>New and confirm different</t>
        </is>
      </c>
      <c r="E19" s="9" t="inlineStr">
        <is>
          <t>Error 'not the same'</t>
        </is>
      </c>
      <c r="F19" s="9" t="inlineStr">
        <is>
          <t>Medium</t>
        </is>
      </c>
      <c r="G19" s="10" t="inlineStr">
        <is>
          <t>Not run</t>
        </is>
      </c>
      <c r="H19" s="10" t="inlineStr"/>
      <c r="I19" s="11" t="inlineStr"/>
      <c r="J19" s="10" t="inlineStr"/>
    </row>
    <row r="20">
      <c r="A20" s="9" t="inlineStr">
        <is>
          <t>TC-019</t>
        </is>
      </c>
      <c r="B20" s="9" t="inlineStr">
        <is>
          <t>Hostels</t>
        </is>
      </c>
      <c r="C20" s="9" t="inlineStr">
        <is>
          <t>Add hostel</t>
        </is>
      </c>
      <c r="D20" s="9" t="inlineStr">
        <is>
          <t>Hostels &gt; Add &gt; name, address, phone, billing Twice a year &gt; Save</t>
        </is>
      </c>
      <c r="E20" s="9" t="inlineStr">
        <is>
          <t>Hostel listed; appears in the hostel selector</t>
        </is>
      </c>
      <c r="F20" s="9" t="inlineStr">
        <is>
          <t>High</t>
        </is>
      </c>
      <c r="G20" s="10" t="inlineStr">
        <is>
          <t>Not run</t>
        </is>
      </c>
      <c r="H20" s="10" t="inlineStr"/>
      <c r="I20" s="11" t="inlineStr"/>
      <c r="J20" s="10" t="inlineStr"/>
    </row>
    <row r="21">
      <c r="A21" s="9" t="inlineStr">
        <is>
          <t>TC-020</t>
        </is>
      </c>
      <c r="B21" s="9" t="inlineStr">
        <is>
          <t>Hostels</t>
        </is>
      </c>
      <c r="C21" s="9" t="inlineStr">
        <is>
          <t>Name required</t>
        </is>
      </c>
      <c r="D21" s="9" t="inlineStr">
        <is>
          <t>Add without a name</t>
        </is>
      </c>
      <c r="E21" s="9" t="inlineStr">
        <is>
          <t>Error, nothing saved</t>
        </is>
      </c>
      <c r="F21" s="9" t="inlineStr">
        <is>
          <t>Medium</t>
        </is>
      </c>
      <c r="G21" s="10" t="inlineStr">
        <is>
          <t>Not run</t>
        </is>
      </c>
      <c r="H21" s="10" t="inlineStr"/>
      <c r="I21" s="11" t="inlineStr"/>
      <c r="J21" s="10" t="inlineStr"/>
    </row>
    <row r="22">
      <c r="A22" s="9" t="inlineStr">
        <is>
          <t>TC-021</t>
        </is>
      </c>
      <c r="B22" s="9" t="inlineStr">
        <is>
          <t>Hostels</t>
        </is>
      </c>
      <c r="C22" s="9" t="inlineStr">
        <is>
          <t>Duplicate hostel name</t>
        </is>
      </c>
      <c r="D22" s="9" t="inlineStr">
        <is>
          <t>Add a hostel with an existing name</t>
        </is>
      </c>
      <c r="E22" s="9" t="inlineStr">
        <is>
          <t>Error about the duplicate name</t>
        </is>
      </c>
      <c r="F22" s="9" t="inlineStr">
        <is>
          <t>Medium</t>
        </is>
      </c>
      <c r="G22" s="10" t="inlineStr">
        <is>
          <t>Not run</t>
        </is>
      </c>
      <c r="H22" s="10" t="inlineStr"/>
      <c r="I22" s="11" t="inlineStr"/>
      <c r="J22" s="10" t="inlineStr"/>
    </row>
    <row r="23">
      <c r="A23" s="9" t="inlineStr">
        <is>
          <t>TC-022</t>
        </is>
      </c>
      <c r="B23" s="9" t="inlineStr">
        <is>
          <t>Hostels</t>
        </is>
      </c>
      <c r="C23" s="9" t="inlineStr">
        <is>
          <t>Default sharing types and services</t>
        </is>
      </c>
      <c r="D23" s="9" t="inlineStr">
        <is>
          <t>Open Rooms and Services for the new hostel</t>
        </is>
      </c>
      <c r="E23" s="9" t="inlineStr">
        <is>
          <t>Single, Double, Triple exist; Wi-Fi and Laundry (included) and Transport (extra) exist</t>
        </is>
      </c>
      <c r="F23" s="9" t="inlineStr">
        <is>
          <t>Medium</t>
        </is>
      </c>
      <c r="G23" s="10" t="inlineStr">
        <is>
          <t>Not run</t>
        </is>
      </c>
      <c r="H23" s="10" t="inlineStr"/>
      <c r="I23" s="11" t="inlineStr"/>
      <c r="J23" s="10" t="inlineStr"/>
    </row>
    <row r="24">
      <c r="A24" s="9" t="inlineStr">
        <is>
          <t>TC-023</t>
        </is>
      </c>
      <c r="B24" s="9" t="inlineStr">
        <is>
          <t>Hostels</t>
        </is>
      </c>
      <c r="C24" s="9" t="inlineStr">
        <is>
          <t>Switch hostel</t>
        </is>
      </c>
      <c r="D24" s="9" t="inlineStr">
        <is>
          <t>Choose another hostel at the top right</t>
        </is>
      </c>
      <c r="E24" s="9" t="inlineStr">
        <is>
          <t>Every screen shows only that hostel's data</t>
        </is>
      </c>
      <c r="F24" s="9" t="inlineStr">
        <is>
          <t>High</t>
        </is>
      </c>
      <c r="G24" s="10" t="inlineStr">
        <is>
          <t>Not run</t>
        </is>
      </c>
      <c r="H24" s="10" t="inlineStr"/>
      <c r="I24" s="11" t="inlineStr"/>
      <c r="J24" s="10" t="inlineStr"/>
    </row>
    <row r="25">
      <c r="A25" s="9" t="inlineStr">
        <is>
          <t>TC-024</t>
        </is>
      </c>
      <c r="B25" s="9" t="inlineStr">
        <is>
          <t>Colleges</t>
        </is>
      </c>
      <c r="C25" s="9" t="inlineStr">
        <is>
          <t>Add college</t>
        </is>
      </c>
      <c r="D25" s="9" t="inlineStr">
        <is>
          <t>Colleges &gt; Add &gt; name &gt; Save</t>
        </is>
      </c>
      <c r="E25" s="9" t="inlineStr">
        <is>
          <t>College listed for the selected hostel only</t>
        </is>
      </c>
      <c r="F25" s="9" t="inlineStr">
        <is>
          <t>High</t>
        </is>
      </c>
      <c r="G25" s="10" t="inlineStr">
        <is>
          <t>Not run</t>
        </is>
      </c>
      <c r="H25" s="10" t="inlineStr"/>
      <c r="I25" s="11" t="inlineStr"/>
      <c r="J25" s="10" t="inlineStr"/>
    </row>
    <row r="26">
      <c r="A26" s="9" t="inlineStr">
        <is>
          <t>TC-025</t>
        </is>
      </c>
      <c r="B26" s="9" t="inlineStr">
        <is>
          <t>Colleges</t>
        </is>
      </c>
      <c r="C26" s="9" t="inlineStr">
        <is>
          <t>Duplicate college in same hostel</t>
        </is>
      </c>
      <c r="D26" s="9" t="inlineStr">
        <is>
          <t>Add the same college name again</t>
        </is>
      </c>
      <c r="E26" s="9" t="inlineStr">
        <is>
          <t>Error about the duplicate</t>
        </is>
      </c>
      <c r="F26" s="9" t="inlineStr">
        <is>
          <t>Low</t>
        </is>
      </c>
      <c r="G26" s="10" t="inlineStr">
        <is>
          <t>Not run</t>
        </is>
      </c>
      <c r="H26" s="10" t="inlineStr"/>
      <c r="I26" s="11" t="inlineStr"/>
      <c r="J26" s="10" t="inlineStr"/>
    </row>
    <row r="27">
      <c r="A27" s="9" t="inlineStr">
        <is>
          <t>TC-026</t>
        </is>
      </c>
      <c r="B27" s="9" t="inlineStr">
        <is>
          <t>Colleges</t>
        </is>
      </c>
      <c r="C27" s="9" t="inlineStr">
        <is>
          <t>Delete college in use</t>
        </is>
      </c>
      <c r="D27" s="9" t="inlineStr">
        <is>
          <t>Delete a college that has students</t>
        </is>
      </c>
      <c r="E27" s="9" t="inlineStr">
        <is>
          <t>Refused with a clear message</t>
        </is>
      </c>
      <c r="F27" s="9" t="inlineStr">
        <is>
          <t>Medium</t>
        </is>
      </c>
      <c r="G27" s="10" t="inlineStr">
        <is>
          <t>Not run</t>
        </is>
      </c>
      <c r="H27" s="10" t="inlineStr"/>
      <c r="I27" s="11" t="inlineStr"/>
      <c r="J27" s="10" t="inlineStr"/>
    </row>
    <row r="28">
      <c r="A28" s="9" t="inlineStr">
        <is>
          <t>TC-027</t>
        </is>
      </c>
      <c r="B28" s="9" t="inlineStr">
        <is>
          <t>Rooms</t>
        </is>
      </c>
      <c r="C28" s="9" t="inlineStr">
        <is>
          <t>Set yearly rent</t>
        </is>
      </c>
      <c r="D28" s="9" t="inlineStr">
        <is>
          <t>Rooms &gt; set yearly rent for Double = 120000 &gt; Save</t>
        </is>
      </c>
      <c r="E28" s="9" t="inlineStr">
        <is>
          <t>Rent saved; installment shown (60000 twice a year / 30000 four times)</t>
        </is>
      </c>
      <c r="F28" s="9" t="inlineStr">
        <is>
          <t>High</t>
        </is>
      </c>
      <c r="G28" s="10" t="inlineStr">
        <is>
          <t>Not run</t>
        </is>
      </c>
      <c r="H28" s="10" t="inlineStr"/>
      <c r="I28" s="11" t="inlineStr"/>
      <c r="J28" s="10" t="inlineStr"/>
    </row>
    <row r="29">
      <c r="A29" s="9" t="inlineStr">
        <is>
          <t>TC-028</t>
        </is>
      </c>
      <c r="B29" s="9" t="inlineStr">
        <is>
          <t>Rooms</t>
        </is>
      </c>
      <c r="C29" s="9" t="inlineStr">
        <is>
          <t>Invalid rent</t>
        </is>
      </c>
      <c r="D29" s="9" t="inlineStr">
        <is>
          <t>Rent 0, -100 or 100.555</t>
        </is>
      </c>
      <c r="E29" s="9" t="inlineStr">
        <is>
          <t>Error, rent not saved</t>
        </is>
      </c>
      <c r="F29" s="9" t="inlineStr">
        <is>
          <t>Medium</t>
        </is>
      </c>
      <c r="G29" s="10" t="inlineStr">
        <is>
          <t>Not run</t>
        </is>
      </c>
      <c r="H29" s="10" t="inlineStr"/>
      <c r="I29" s="11" t="inlineStr"/>
      <c r="J29" s="10" t="inlineStr"/>
    </row>
    <row r="30">
      <c r="A30" s="9" t="inlineStr">
        <is>
          <t>TC-029</t>
        </is>
      </c>
      <c r="B30" s="9" t="inlineStr">
        <is>
          <t>Rooms</t>
        </is>
      </c>
      <c r="C30" s="9" t="inlineStr">
        <is>
          <t>Add room</t>
        </is>
      </c>
      <c r="D30" s="9" t="inlineStr">
        <is>
          <t>Add room 101, Double, Boys</t>
        </is>
      </c>
      <c r="E30" s="9" t="inlineStr">
        <is>
          <t>Room listed with 2 beds, 0 occupied, 2 free</t>
        </is>
      </c>
      <c r="F30" s="9" t="inlineStr">
        <is>
          <t>High</t>
        </is>
      </c>
      <c r="G30" s="10" t="inlineStr">
        <is>
          <t>Not run</t>
        </is>
      </c>
      <c r="H30" s="10" t="inlineStr"/>
      <c r="I30" s="11" t="inlineStr"/>
      <c r="J30" s="10" t="inlineStr"/>
    </row>
    <row r="31">
      <c r="A31" s="9" t="inlineStr">
        <is>
          <t>TC-030</t>
        </is>
      </c>
      <c r="B31" s="9" t="inlineStr">
        <is>
          <t>Rooms</t>
        </is>
      </c>
      <c r="C31" s="9" t="inlineStr">
        <is>
          <t>Duplicate room number</t>
        </is>
      </c>
      <c r="D31" s="9" t="inlineStr">
        <is>
          <t>Add room 101 again (any case)</t>
        </is>
      </c>
      <c r="E31" s="9" t="inlineStr">
        <is>
          <t>Error about the duplicate</t>
        </is>
      </c>
      <c r="F31" s="9" t="inlineStr">
        <is>
          <t>Medium</t>
        </is>
      </c>
      <c r="G31" s="10" t="inlineStr">
        <is>
          <t>Not run</t>
        </is>
      </c>
      <c r="H31" s="10" t="inlineStr"/>
      <c r="I31" s="11" t="inlineStr"/>
      <c r="J31" s="10" t="inlineStr"/>
    </row>
    <row r="32">
      <c r="A32" s="9" t="inlineStr">
        <is>
          <t>TC-031</t>
        </is>
      </c>
      <c r="B32" s="9" t="inlineStr">
        <is>
          <t>Rooms</t>
        </is>
      </c>
      <c r="C32" s="9" t="inlineStr">
        <is>
          <t>Room for boys or girls required</t>
        </is>
      </c>
      <c r="D32" s="9" t="inlineStr">
        <is>
          <t>Add a room without choosing Boys/Girls</t>
        </is>
      </c>
      <c r="E32" s="9" t="inlineStr">
        <is>
          <t>Error</t>
        </is>
      </c>
      <c r="F32" s="9" t="inlineStr">
        <is>
          <t>Low</t>
        </is>
      </c>
      <c r="G32" s="10" t="inlineStr">
        <is>
          <t>Not run</t>
        </is>
      </c>
      <c r="H32" s="10" t="inlineStr"/>
      <c r="I32" s="11" t="inlineStr"/>
      <c r="J32" s="10" t="inlineStr"/>
    </row>
    <row r="33">
      <c r="A33" s="9" t="inlineStr">
        <is>
          <t>TC-032</t>
        </is>
      </c>
      <c r="B33" s="9" t="inlineStr">
        <is>
          <t>Rooms</t>
        </is>
      </c>
      <c r="C33" s="9" t="inlineStr">
        <is>
          <t>Reduce sharing below occupancy</t>
        </is>
      </c>
      <c r="D33" s="9" t="inlineStr">
        <is>
          <t>Room with 2 students &gt; change to Single</t>
        </is>
      </c>
      <c r="E33" s="9" t="inlineStr">
        <is>
          <t>Refused</t>
        </is>
      </c>
      <c r="F33" s="9" t="inlineStr">
        <is>
          <t>Medium</t>
        </is>
      </c>
      <c r="G33" s="10" t="inlineStr">
        <is>
          <t>Not run</t>
        </is>
      </c>
      <c r="H33" s="10" t="inlineStr"/>
      <c r="I33" s="11" t="inlineStr"/>
      <c r="J33" s="10" t="inlineStr"/>
    </row>
    <row r="34">
      <c r="A34" s="9" t="inlineStr">
        <is>
          <t>TC-033</t>
        </is>
      </c>
      <c r="B34" s="9" t="inlineStr">
        <is>
          <t>Rooms</t>
        </is>
      </c>
      <c r="C34" s="9" t="inlineStr">
        <is>
          <t>Change gender of occupied room</t>
        </is>
      </c>
      <c r="D34" s="9" t="inlineStr">
        <is>
          <t>Occupied boys room &gt; change to Girls</t>
        </is>
      </c>
      <c r="E34" s="9" t="inlineStr">
        <is>
          <t>Refused</t>
        </is>
      </c>
      <c r="F34" s="9" t="inlineStr">
        <is>
          <t>Medium</t>
        </is>
      </c>
      <c r="G34" s="10" t="inlineStr">
        <is>
          <t>Not run</t>
        </is>
      </c>
      <c r="H34" s="10" t="inlineStr"/>
      <c r="I34" s="11" t="inlineStr"/>
      <c r="J34" s="10" t="inlineStr"/>
    </row>
    <row r="35">
      <c r="A35" s="9" t="inlineStr">
        <is>
          <t>TC-034</t>
        </is>
      </c>
      <c r="B35" s="9" t="inlineStr">
        <is>
          <t>Rooms</t>
        </is>
      </c>
      <c r="C35" s="9" t="inlineStr">
        <is>
          <t>Deactivate occupied room</t>
        </is>
      </c>
      <c r="D35" s="9" t="inlineStr">
        <is>
          <t>Occupied room &gt; untick Active</t>
        </is>
      </c>
      <c r="E35" s="9" t="inlineStr">
        <is>
          <t>Refused</t>
        </is>
      </c>
      <c r="F35" s="9" t="inlineStr">
        <is>
          <t>Low</t>
        </is>
      </c>
      <c r="G35" s="10" t="inlineStr">
        <is>
          <t>Not run</t>
        </is>
      </c>
      <c r="H35" s="10" t="inlineStr"/>
      <c r="I35" s="11" t="inlineStr"/>
      <c r="J35" s="10" t="inlineStr"/>
    </row>
    <row r="36">
      <c r="A36" s="9" t="inlineStr">
        <is>
          <t>TC-035</t>
        </is>
      </c>
      <c r="B36" s="9" t="inlineStr">
        <is>
          <t>Rooms</t>
        </is>
      </c>
      <c r="C36" s="9" t="inlineStr">
        <is>
          <t>Delete room</t>
        </is>
      </c>
      <c r="D36" s="9" t="inlineStr">
        <is>
          <t>Delete a room never used / a room with past students</t>
        </is>
      </c>
      <c r="E36" s="9" t="inlineStr">
        <is>
          <t>Unused room deleted; used room refused</t>
        </is>
      </c>
      <c r="F36" s="9" t="inlineStr">
        <is>
          <t>Low</t>
        </is>
      </c>
      <c r="G36" s="10" t="inlineStr">
        <is>
          <t>Not run</t>
        </is>
      </c>
      <c r="H36" s="10" t="inlineStr"/>
      <c r="I36" s="11" t="inlineStr"/>
      <c r="J36" s="10" t="inlineStr"/>
    </row>
    <row r="37">
      <c r="A37" s="9" t="inlineStr">
        <is>
          <t>TC-036</t>
        </is>
      </c>
      <c r="B37" s="9" t="inlineStr">
        <is>
          <t>Services</t>
        </is>
      </c>
      <c r="C37" s="9" t="inlineStr">
        <is>
          <t>Transport monthly rate</t>
        </is>
      </c>
      <c r="D37" s="9" t="inlineStr">
        <is>
          <t>Services &gt; Transport &gt; rate 1500 &gt; Save</t>
        </is>
      </c>
      <c r="E37" s="9" t="inlineStr">
        <is>
          <t>Rate saved</t>
        </is>
      </c>
      <c r="F37" s="9" t="inlineStr">
        <is>
          <t>High</t>
        </is>
      </c>
      <c r="G37" s="10" t="inlineStr">
        <is>
          <t>Not run</t>
        </is>
      </c>
      <c r="H37" s="10" t="inlineStr"/>
      <c r="I37" s="11" t="inlineStr"/>
      <c r="J37" s="10" t="inlineStr"/>
    </row>
    <row r="38">
      <c r="A38" s="9" t="inlineStr">
        <is>
          <t>TC-037</t>
        </is>
      </c>
      <c r="B38" s="9" t="inlineStr">
        <is>
          <t>Services</t>
        </is>
      </c>
      <c r="C38" s="9" t="inlineStr">
        <is>
          <t>Add service</t>
        </is>
      </c>
      <c r="D38" s="9" t="inlineStr">
        <is>
          <t>Add 'Mess' included in rent</t>
        </is>
      </c>
      <c r="E38" s="9" t="inlineStr">
        <is>
          <t>Service listed as included</t>
        </is>
      </c>
      <c r="F38" s="9" t="inlineStr">
        <is>
          <t>Low</t>
        </is>
      </c>
      <c r="G38" s="10" t="inlineStr">
        <is>
          <t>Not run</t>
        </is>
      </c>
      <c r="H38" s="10" t="inlineStr"/>
      <c r="I38" s="11" t="inlineStr"/>
      <c r="J38" s="10" t="inlineStr"/>
    </row>
    <row r="39">
      <c r="A39" s="9" t="inlineStr">
        <is>
          <t>TC-038</t>
        </is>
      </c>
      <c r="B39" s="9" t="inlineStr">
        <is>
          <t>Services</t>
        </is>
      </c>
      <c r="C39" s="9" t="inlineStr">
        <is>
          <t>Deactivate service in use</t>
        </is>
      </c>
      <c r="D39" s="9" t="inlineStr">
        <is>
          <t>Deactivate Transport while students use it</t>
        </is>
      </c>
      <c r="E39" s="9" t="inlineStr">
        <is>
          <t>Handled per rule (message shown)</t>
        </is>
      </c>
      <c r="F39" s="9" t="inlineStr">
        <is>
          <t>Low</t>
        </is>
      </c>
      <c r="G39" s="10" t="inlineStr">
        <is>
          <t>Not run</t>
        </is>
      </c>
      <c r="H39" s="10" t="inlineStr"/>
      <c r="I39" s="11" t="inlineStr"/>
      <c r="J39" s="10" t="inlineStr"/>
    </row>
    <row r="40">
      <c r="A40" s="9" t="inlineStr">
        <is>
          <t>TC-039</t>
        </is>
      </c>
      <c r="B40" s="9" t="inlineStr">
        <is>
          <t>Students</t>
        </is>
      </c>
      <c r="C40" s="9" t="inlineStr">
        <is>
          <t>Add student with required fields</t>
        </is>
      </c>
      <c r="D40" s="9" t="inlineStr">
        <is>
          <t>Students &gt; Add &gt; name, gender, mobile, college, admission date, parent name/mobile/email &gt; Save</t>
        </is>
      </c>
      <c r="E40" s="9" t="inlineStr">
        <is>
          <t>Student listed as Active</t>
        </is>
      </c>
      <c r="F40" s="9" t="inlineStr">
        <is>
          <t>High</t>
        </is>
      </c>
      <c r="G40" s="10" t="inlineStr">
        <is>
          <t>Not run</t>
        </is>
      </c>
      <c r="H40" s="10" t="inlineStr"/>
      <c r="I40" s="11" t="inlineStr"/>
      <c r="J40" s="10" t="inlineStr"/>
    </row>
    <row r="41">
      <c r="A41" s="9" t="inlineStr">
        <is>
          <t>TC-040</t>
        </is>
      </c>
      <c r="B41" s="9" t="inlineStr">
        <is>
          <t>Students</t>
        </is>
      </c>
      <c r="C41" s="9" t="inlineStr">
        <is>
          <t>Required fields</t>
        </is>
      </c>
      <c r="D41" s="9" t="inlineStr">
        <is>
          <t>Save without name / mobile / admission date / parent email</t>
        </is>
      </c>
      <c r="E41" s="9" t="inlineStr">
        <is>
          <t>Clear error for each missing field; nothing saved</t>
        </is>
      </c>
      <c r="F41" s="9" t="inlineStr">
        <is>
          <t>High</t>
        </is>
      </c>
      <c r="G41" s="10" t="inlineStr">
        <is>
          <t>Not run</t>
        </is>
      </c>
      <c r="H41" s="10" t="inlineStr"/>
      <c r="I41" s="11" t="inlineStr"/>
      <c r="J41" s="10" t="inlineStr"/>
    </row>
    <row r="42">
      <c r="A42" s="9" t="inlineStr">
        <is>
          <t>TC-041</t>
        </is>
      </c>
      <c r="B42" s="9" t="inlineStr">
        <is>
          <t>Students</t>
        </is>
      </c>
      <c r="C42" s="9" t="inlineStr">
        <is>
          <t>Invalid mobile or email</t>
        </is>
      </c>
      <c r="D42" s="9" t="inlineStr">
        <is>
          <t>Mobile 12, parent email 'abc'</t>
        </is>
      </c>
      <c r="E42" s="9" t="inlineStr">
        <is>
          <t>Errors shown</t>
        </is>
      </c>
      <c r="F42" s="9" t="inlineStr">
        <is>
          <t>Medium</t>
        </is>
      </c>
      <c r="G42" s="10" t="inlineStr">
        <is>
          <t>Not run</t>
        </is>
      </c>
      <c r="H42" s="10" t="inlineStr"/>
      <c r="I42" s="11" t="inlineStr"/>
      <c r="J42" s="10" t="inlineStr"/>
    </row>
    <row r="43">
      <c r="A43" s="9" t="inlineStr">
        <is>
          <t>TC-042</t>
        </is>
      </c>
      <c r="B43" s="9" t="inlineStr">
        <is>
          <t>Students</t>
        </is>
      </c>
      <c r="C43" s="9" t="inlineStr">
        <is>
          <t>Aadhaar check</t>
        </is>
      </c>
      <c r="D43" s="9" t="inlineStr">
        <is>
          <t>Enter 2345 6789 0124 (valid) and 2345 6789 0123 (invalid)</t>
        </is>
      </c>
      <c r="E43" s="9" t="inlineStr">
        <is>
          <t>Valid one saved; invalid one refused</t>
        </is>
      </c>
      <c r="F43" s="9" t="inlineStr">
        <is>
          <t>Medium</t>
        </is>
      </c>
      <c r="G43" s="10" t="inlineStr">
        <is>
          <t>Not run</t>
        </is>
      </c>
      <c r="H43" s="10" t="inlineStr"/>
      <c r="I43" s="11" t="inlineStr"/>
      <c r="J43" s="10" t="inlineStr"/>
    </row>
    <row r="44">
      <c r="A44" s="9" t="inlineStr">
        <is>
          <t>TC-043</t>
        </is>
      </c>
      <c r="B44" s="9" t="inlineStr">
        <is>
          <t>Students</t>
        </is>
      </c>
      <c r="C44" s="9" t="inlineStr">
        <is>
          <t>Aadhaar masked</t>
        </is>
      </c>
      <c r="D44" s="9" t="inlineStr">
        <is>
          <t>View student list and reports</t>
        </is>
      </c>
      <c r="E44" s="9" t="inlineStr">
        <is>
          <t>Aadhaar shown as XXXX XXXX 0124 only</t>
        </is>
      </c>
      <c r="F44" s="9" t="inlineStr">
        <is>
          <t>High</t>
        </is>
      </c>
      <c r="G44" s="10" t="inlineStr">
        <is>
          <t>Not run</t>
        </is>
      </c>
      <c r="H44" s="10" t="inlineStr"/>
      <c r="I44" s="11" t="inlineStr"/>
      <c r="J44" s="10" t="inlineStr"/>
    </row>
    <row r="45">
      <c r="A45" s="9" t="inlineStr">
        <is>
          <t>TC-044</t>
        </is>
      </c>
      <c r="B45" s="9" t="inlineStr">
        <is>
          <t>Students</t>
        </is>
      </c>
      <c r="C45" s="9" t="inlineStr">
        <is>
          <t>Photo and Aadhaar card</t>
        </is>
      </c>
      <c r="D45" s="9" t="inlineStr">
        <is>
          <t>Add a JPG photo and a PDF Aadhaar card</t>
        </is>
      </c>
      <c r="E45" s="9" t="inlineStr">
        <is>
          <t>Photo shown; files saved in Photos/Documents</t>
        </is>
      </c>
      <c r="F45" s="9" t="inlineStr">
        <is>
          <t>Medium</t>
        </is>
      </c>
      <c r="G45" s="10" t="inlineStr">
        <is>
          <t>Not run</t>
        </is>
      </c>
      <c r="H45" s="10" t="inlineStr"/>
      <c r="I45" s="11" t="inlineStr"/>
      <c r="J45" s="10" t="inlineStr"/>
    </row>
    <row r="46">
      <c r="A46" s="9" t="inlineStr">
        <is>
          <t>TC-045</t>
        </is>
      </c>
      <c r="B46" s="9" t="inlineStr">
        <is>
          <t>Students</t>
        </is>
      </c>
      <c r="C46" s="9" t="inlineStr">
        <is>
          <t>File too large or wrong type</t>
        </is>
      </c>
      <c r="D46" s="9" t="inlineStr">
        <is>
          <t>Add a 6 MB photo or a .txt file</t>
        </is>
      </c>
      <c r="E46" s="9" t="inlineStr">
        <is>
          <t>Refused before saving</t>
        </is>
      </c>
      <c r="F46" s="9" t="inlineStr">
        <is>
          <t>Low</t>
        </is>
      </c>
      <c r="G46" s="10" t="inlineStr">
        <is>
          <t>Not run</t>
        </is>
      </c>
      <c r="H46" s="10" t="inlineStr"/>
      <c r="I46" s="11" t="inlineStr"/>
      <c r="J46" s="10" t="inlineStr"/>
    </row>
    <row r="47">
      <c r="A47" s="9" t="inlineStr">
        <is>
          <t>TC-046</t>
        </is>
      </c>
      <c r="B47" s="9" t="inlineStr">
        <is>
          <t>Students</t>
        </is>
      </c>
      <c r="C47" s="9" t="inlineStr">
        <is>
          <t>Transport service</t>
        </is>
      </c>
      <c r="D47" s="9" t="inlineStr">
        <is>
          <t>Tick Transport on the Services tab</t>
        </is>
      </c>
      <c r="E47" s="9" t="inlineStr">
        <is>
          <t>Transport appears on the next invoice per month</t>
        </is>
      </c>
      <c r="F47" s="9" t="inlineStr">
        <is>
          <t>High</t>
        </is>
      </c>
      <c r="G47" s="10" t="inlineStr">
        <is>
          <t>Not run</t>
        </is>
      </c>
      <c r="H47" s="10" t="inlineStr"/>
      <c r="I47" s="11" t="inlineStr"/>
      <c r="J47" s="10" t="inlineStr"/>
    </row>
    <row r="48">
      <c r="A48" s="9" t="inlineStr">
        <is>
          <t>TC-047</t>
        </is>
      </c>
      <c r="B48" s="9" t="inlineStr">
        <is>
          <t>Students</t>
        </is>
      </c>
      <c r="C48" s="9" t="inlineStr">
        <is>
          <t>Search and filters</t>
        </is>
      </c>
      <c r="D48" s="9" t="inlineStr">
        <is>
          <t>Type part of a name; filter by college, course, class, status</t>
        </is>
      </c>
      <c r="E48" s="9" t="inlineStr">
        <is>
          <t>List narrows correctly</t>
        </is>
      </c>
      <c r="F48" s="9" t="inlineStr">
        <is>
          <t>Medium</t>
        </is>
      </c>
      <c r="G48" s="10" t="inlineStr">
        <is>
          <t>Not run</t>
        </is>
      </c>
      <c r="H48" s="10" t="inlineStr"/>
      <c r="I48" s="11" t="inlineStr"/>
      <c r="J48" s="10" t="inlineStr"/>
    </row>
    <row r="49">
      <c r="A49" s="9" t="inlineStr">
        <is>
          <t>TC-048</t>
        </is>
      </c>
      <c r="B49" s="9" t="inlineStr">
        <is>
          <t>Students</t>
        </is>
      </c>
      <c r="C49" s="9" t="inlineStr">
        <is>
          <t>Edit student</t>
        </is>
      </c>
      <c r="D49" s="9" t="inlineStr">
        <is>
          <t>View / Edit &gt; change mobile &gt; Save</t>
        </is>
      </c>
      <c r="E49" s="9" t="inlineStr">
        <is>
          <t>Change saved</t>
        </is>
      </c>
      <c r="F49" s="9" t="inlineStr">
        <is>
          <t>Medium</t>
        </is>
      </c>
      <c r="G49" s="10" t="inlineStr">
        <is>
          <t>Not run</t>
        </is>
      </c>
      <c r="H49" s="10" t="inlineStr"/>
      <c r="I49" s="11" t="inlineStr"/>
      <c r="J49" s="10" t="inlineStr"/>
    </row>
    <row r="50">
      <c r="A50" s="9" t="inlineStr">
        <is>
          <t>TC-049</t>
        </is>
      </c>
      <c r="B50" s="9" t="inlineStr">
        <is>
          <t>Students</t>
        </is>
      </c>
      <c r="C50" s="9" t="inlineStr">
        <is>
          <t>Delete student with history</t>
        </is>
      </c>
      <c r="D50" s="9" t="inlineStr">
        <is>
          <t>Delete a student who had a room or invoice</t>
        </is>
      </c>
      <c r="E50" s="9" t="inlineStr">
        <is>
          <t>Refused</t>
        </is>
      </c>
      <c r="F50" s="9" t="inlineStr">
        <is>
          <t>Medium</t>
        </is>
      </c>
      <c r="G50" s="10" t="inlineStr">
        <is>
          <t>Not run</t>
        </is>
      </c>
      <c r="H50" s="10" t="inlineStr"/>
      <c r="I50" s="11" t="inlineStr"/>
      <c r="J50" s="10" t="inlineStr"/>
    </row>
    <row r="51">
      <c r="A51" s="9" t="inlineStr">
        <is>
          <t>TC-050</t>
        </is>
      </c>
      <c r="B51" s="9" t="inlineStr">
        <is>
          <t>Parents</t>
        </is>
      </c>
      <c r="C51" s="9" t="inlineStr">
        <is>
          <t>Second parent</t>
        </is>
      </c>
      <c r="D51" s="9" t="inlineStr">
        <is>
          <t>Parents &gt; Add a second parent for a student</t>
        </is>
      </c>
      <c r="E51" s="9" t="inlineStr">
        <is>
          <t>Both listed; one primary contact</t>
        </is>
      </c>
      <c r="F51" s="9" t="inlineStr">
        <is>
          <t>Low</t>
        </is>
      </c>
      <c r="G51" s="10" t="inlineStr">
        <is>
          <t>Not run</t>
        </is>
      </c>
      <c r="H51" s="10" t="inlineStr"/>
      <c r="I51" s="11" t="inlineStr"/>
      <c r="J51" s="10" t="inlineStr"/>
    </row>
    <row r="52">
      <c r="A52" s="9" t="inlineStr">
        <is>
          <t>TC-051</t>
        </is>
      </c>
      <c r="B52" s="9" t="inlineStr">
        <is>
          <t>Parents</t>
        </is>
      </c>
      <c r="C52" s="9" t="inlineStr">
        <is>
          <t>Change primary contact</t>
        </is>
      </c>
      <c r="D52" s="9" t="inlineStr">
        <is>
          <t>Mark the second parent as primary</t>
        </is>
      </c>
      <c r="E52" s="9" t="inlineStr">
        <is>
          <t>Only the new one is primary; emails go there</t>
        </is>
      </c>
      <c r="F52" s="9" t="inlineStr">
        <is>
          <t>Medium</t>
        </is>
      </c>
      <c r="G52" s="10" t="inlineStr">
        <is>
          <t>Not run</t>
        </is>
      </c>
      <c r="H52" s="10" t="inlineStr"/>
      <c r="I52" s="11" t="inlineStr"/>
      <c r="J52" s="10" t="inlineStr"/>
    </row>
    <row r="53">
      <c r="A53" s="9" t="inlineStr">
        <is>
          <t>TC-052</t>
        </is>
      </c>
      <c r="B53" s="9" t="inlineStr">
        <is>
          <t>Parents</t>
        </is>
      </c>
      <c r="C53" s="9" t="inlineStr">
        <is>
          <t>Delete only parent</t>
        </is>
      </c>
      <c r="D53" s="9" t="inlineStr">
        <is>
          <t>Delete a student's only parent</t>
        </is>
      </c>
      <c r="E53" s="9" t="inlineStr">
        <is>
          <t>Refused</t>
        </is>
      </c>
      <c r="F53" s="9" t="inlineStr">
        <is>
          <t>Low</t>
        </is>
      </c>
      <c r="G53" s="10" t="inlineStr">
        <is>
          <t>Not run</t>
        </is>
      </c>
      <c r="H53" s="10" t="inlineStr"/>
      <c r="I53" s="11" t="inlineStr"/>
      <c r="J53" s="10" t="inlineStr"/>
    </row>
    <row r="54">
      <c r="A54" s="9" t="inlineStr">
        <is>
          <t>TC-053</t>
        </is>
      </c>
      <c r="B54" s="9" t="inlineStr">
        <is>
          <t>Room Allocation</t>
        </is>
      </c>
      <c r="C54" s="9" t="inlineStr">
        <is>
          <t>Check-in with lowest free bed</t>
        </is>
      </c>
      <c r="D54" s="9" t="inlineStr">
        <is>
          <t>Room Allocation &gt; Check-in &gt; student, room 101</t>
        </is>
      </c>
      <c r="E54" s="9" t="inlineStr">
        <is>
          <t>Bed 1 suggested; student in room 101 bed 1; room occupancy +1</t>
        </is>
      </c>
      <c r="F54" s="9" t="inlineStr">
        <is>
          <t>High</t>
        </is>
      </c>
      <c r="G54" s="10" t="inlineStr">
        <is>
          <t>Not run</t>
        </is>
      </c>
      <c r="H54" s="10" t="inlineStr"/>
      <c r="I54" s="11" t="inlineStr"/>
      <c r="J54" s="10" t="inlineStr"/>
    </row>
    <row r="55">
      <c r="A55" s="9" t="inlineStr">
        <is>
          <t>TC-054</t>
        </is>
      </c>
      <c r="B55" s="9" t="inlineStr">
        <is>
          <t>Room Allocation</t>
        </is>
      </c>
      <c r="C55" s="9" t="inlineStr">
        <is>
          <t>Choose another bed</t>
        </is>
      </c>
      <c r="D55" s="9" t="inlineStr">
        <is>
          <t>Check-in a second student, choose bed 2</t>
        </is>
      </c>
      <c r="E55" s="9" t="inlineStr">
        <is>
          <t>Saved in bed 2</t>
        </is>
      </c>
      <c r="F55" s="9" t="inlineStr">
        <is>
          <t>Medium</t>
        </is>
      </c>
      <c r="G55" s="10" t="inlineStr">
        <is>
          <t>Not run</t>
        </is>
      </c>
      <c r="H55" s="10" t="inlineStr"/>
      <c r="I55" s="11" t="inlineStr"/>
      <c r="J55" s="10" t="inlineStr"/>
    </row>
    <row r="56">
      <c r="A56" s="9" t="inlineStr">
        <is>
          <t>TC-055</t>
        </is>
      </c>
      <c r="B56" s="9" t="inlineStr">
        <is>
          <t>Room Allocation</t>
        </is>
      </c>
      <c r="C56" s="9" t="inlineStr">
        <is>
          <t>Only matching rooms offered</t>
        </is>
      </c>
      <c r="D56" s="9" t="inlineStr">
        <is>
          <t>Check in a girl student</t>
        </is>
      </c>
      <c r="E56" s="9" t="inlineStr">
        <is>
          <t>Only girls' rooms with a free bed listed</t>
        </is>
      </c>
      <c r="F56" s="9" t="inlineStr">
        <is>
          <t>High</t>
        </is>
      </c>
      <c r="G56" s="10" t="inlineStr">
        <is>
          <t>Not run</t>
        </is>
      </c>
      <c r="H56" s="10" t="inlineStr"/>
      <c r="I56" s="11" t="inlineStr"/>
      <c r="J56" s="10" t="inlineStr"/>
    </row>
    <row r="57">
      <c r="A57" s="9" t="inlineStr">
        <is>
          <t>TC-056</t>
        </is>
      </c>
      <c r="B57" s="9" t="inlineStr">
        <is>
          <t>Room Allocation</t>
        </is>
      </c>
      <c r="C57" s="9" t="inlineStr">
        <is>
          <t>Full room</t>
        </is>
      </c>
      <c r="D57" s="9" t="inlineStr">
        <is>
          <t>Try to fill a room beyond its beds</t>
        </is>
      </c>
      <c r="E57" s="9" t="inlineStr">
        <is>
          <t>Full room not offered / refused</t>
        </is>
      </c>
      <c r="F57" s="9" t="inlineStr">
        <is>
          <t>High</t>
        </is>
      </c>
      <c r="G57" s="10" t="inlineStr">
        <is>
          <t>Not run</t>
        </is>
      </c>
      <c r="H57" s="10" t="inlineStr"/>
      <c r="I57" s="11" t="inlineStr"/>
      <c r="J57" s="10" t="inlineStr"/>
    </row>
    <row r="58">
      <c r="A58" s="9" t="inlineStr">
        <is>
          <t>TC-057</t>
        </is>
      </c>
      <c r="B58" s="9" t="inlineStr">
        <is>
          <t>Room Allocation</t>
        </is>
      </c>
      <c r="C58" s="9" t="inlineStr">
        <is>
          <t>Check-in before admission date</t>
        </is>
      </c>
      <c r="D58" s="9" t="inlineStr">
        <is>
          <t>Check-in date earlier than admission date</t>
        </is>
      </c>
      <c r="E58" s="9" t="inlineStr">
        <is>
          <t>Refused</t>
        </is>
      </c>
      <c r="F58" s="9" t="inlineStr">
        <is>
          <t>Low</t>
        </is>
      </c>
      <c r="G58" s="10" t="inlineStr">
        <is>
          <t>Not run</t>
        </is>
      </c>
      <c r="H58" s="10" t="inlineStr"/>
      <c r="I58" s="11" t="inlineStr"/>
      <c r="J58" s="10" t="inlineStr"/>
    </row>
    <row r="59">
      <c r="A59" s="9" t="inlineStr">
        <is>
          <t>TC-058</t>
        </is>
      </c>
      <c r="B59" s="9" t="inlineStr">
        <is>
          <t>Room Allocation</t>
        </is>
      </c>
      <c r="C59" s="9" t="inlineStr">
        <is>
          <t>Future date</t>
        </is>
      </c>
      <c r="D59" s="9" t="inlineStr">
        <is>
          <t>Check-in date in the future</t>
        </is>
      </c>
      <c r="E59" s="9" t="inlineStr">
        <is>
          <t>Not possible</t>
        </is>
      </c>
      <c r="F59" s="9" t="inlineStr">
        <is>
          <t>Low</t>
        </is>
      </c>
      <c r="G59" s="10" t="inlineStr">
        <is>
          <t>Not run</t>
        </is>
      </c>
      <c r="H59" s="10" t="inlineStr"/>
      <c r="I59" s="11" t="inlineStr"/>
      <c r="J59" s="10" t="inlineStr"/>
    </row>
    <row r="60">
      <c r="A60" s="9" t="inlineStr">
        <is>
          <t>TC-059</t>
        </is>
      </c>
      <c r="B60" s="9" t="inlineStr">
        <is>
          <t>Room Allocation</t>
        </is>
      </c>
      <c r="C60" s="9" t="inlineStr">
        <is>
          <t>Transfer</t>
        </is>
      </c>
      <c r="D60" s="9" t="inlineStr">
        <is>
          <t>Transfer &gt; new room and bed &gt; confirm</t>
        </is>
      </c>
      <c r="E60" s="9" t="inlineStr">
        <is>
          <t>Old stay closed as Transferred, new stay current, same day</t>
        </is>
      </c>
      <c r="F60" s="9" t="inlineStr">
        <is>
          <t>High</t>
        </is>
      </c>
      <c r="G60" s="10" t="inlineStr">
        <is>
          <t>Not run</t>
        </is>
      </c>
      <c r="H60" s="10" t="inlineStr"/>
      <c r="I60" s="11" t="inlineStr"/>
      <c r="J60" s="10" t="inlineStr"/>
    </row>
    <row r="61">
      <c r="A61" s="9" t="inlineStr">
        <is>
          <t>TC-060</t>
        </is>
      </c>
      <c r="B61" s="9" t="inlineStr">
        <is>
          <t>Room Allocation</t>
        </is>
      </c>
      <c r="C61" s="9" t="inlineStr">
        <is>
          <t>Check-out</t>
        </is>
      </c>
      <c r="D61" s="9" t="inlineStr">
        <is>
          <t>Check-out &gt; confirm</t>
        </is>
      </c>
      <c r="E61" s="9" t="inlineStr">
        <is>
          <t>Stay closed; student status Left; bed free</t>
        </is>
      </c>
      <c r="F61" s="9" t="inlineStr">
        <is>
          <t>High</t>
        </is>
      </c>
      <c r="G61" s="10" t="inlineStr">
        <is>
          <t>Not run</t>
        </is>
      </c>
      <c r="H61" s="10" t="inlineStr"/>
      <c r="I61" s="11" t="inlineStr"/>
      <c r="J61" s="10" t="inlineStr"/>
    </row>
    <row r="62">
      <c r="A62" s="9" t="inlineStr">
        <is>
          <t>TC-061</t>
        </is>
      </c>
      <c r="B62" s="9" t="inlineStr">
        <is>
          <t>Room Allocation</t>
        </is>
      </c>
      <c r="C62" s="9" t="inlineStr">
        <is>
          <t>Agreement offered after check-in</t>
        </is>
      </c>
      <c r="D62" s="9" t="inlineStr">
        <is>
          <t>Complete a check-in</t>
        </is>
      </c>
      <c r="E62" s="9" t="inlineStr">
        <is>
          <t>Program offers to create the agreement PDF</t>
        </is>
      </c>
      <c r="F62" s="9" t="inlineStr">
        <is>
          <t>Medium</t>
        </is>
      </c>
      <c r="G62" s="10" t="inlineStr">
        <is>
          <t>Not run</t>
        </is>
      </c>
      <c r="H62" s="10" t="inlineStr"/>
      <c r="I62" s="11" t="inlineStr"/>
      <c r="J62" s="10" t="inlineStr"/>
    </row>
    <row r="63">
      <c r="A63" s="9" t="inlineStr">
        <is>
          <t>TC-062</t>
        </is>
      </c>
      <c r="B63" s="9" t="inlineStr">
        <is>
          <t>Agreement</t>
        </is>
      </c>
      <c r="C63" s="9" t="inlineStr">
        <is>
          <t>Create agreement PDF</t>
        </is>
      </c>
      <c r="D63" s="9" t="inlineStr">
        <is>
          <t>Students &gt; select &gt; Agreement PDF &gt; Save</t>
        </is>
      </c>
      <c r="E63" s="9" t="inlineStr">
        <is>
          <t>PDF opens: name, S/o or D/o + parent, address, Boys/Girls hostel, room, bed, beds in room, check-in date, annual fee in figures and words</t>
        </is>
      </c>
      <c r="F63" s="9" t="inlineStr">
        <is>
          <t>High</t>
        </is>
      </c>
      <c r="G63" s="10" t="inlineStr">
        <is>
          <t>Not run</t>
        </is>
      </c>
      <c r="H63" s="10" t="inlineStr"/>
      <c r="I63" s="11" t="inlineStr"/>
      <c r="J63" s="10" t="inlineStr"/>
    </row>
    <row r="64">
      <c r="A64" s="9" t="inlineStr">
        <is>
          <t>TC-063</t>
        </is>
      </c>
      <c r="B64" s="9" t="inlineStr">
        <is>
          <t>Agreement</t>
        </is>
      </c>
      <c r="C64" s="9" t="inlineStr">
        <is>
          <t>Annual fee with transport</t>
        </is>
      </c>
      <c r="D64" s="9" t="inlineStr">
        <is>
          <t>Student with Transport 1500/month, Double rent 120000</t>
        </is>
      </c>
      <c r="E64" s="9" t="inlineStr">
        <is>
          <t>Annual fee Rs. 1,38,000/- (Rupees One Lakh Thirty Eight Thousand Only)</t>
        </is>
      </c>
      <c r="F64" s="9" t="inlineStr">
        <is>
          <t>High</t>
        </is>
      </c>
      <c r="G64" s="10" t="inlineStr">
        <is>
          <t>Not run</t>
        </is>
      </c>
      <c r="H64" s="10" t="inlineStr"/>
      <c r="I64" s="11" t="inlineStr"/>
      <c r="J64" s="10" t="inlineStr"/>
    </row>
    <row r="65">
      <c r="A65" s="9" t="inlineStr">
        <is>
          <t>TC-064</t>
        </is>
      </c>
      <c r="B65" s="9" t="inlineStr">
        <is>
          <t>Agreement</t>
        </is>
      </c>
      <c r="C65" s="9" t="inlineStr">
        <is>
          <t>Girl student</t>
        </is>
      </c>
      <c r="D65" s="9" t="inlineStr">
        <is>
          <t>Agreement for a girl</t>
        </is>
      </c>
      <c r="E65" s="9" t="inlineStr">
        <is>
          <t>D/o and 'Girls Hostel'</t>
        </is>
      </c>
      <c r="F65" s="9" t="inlineStr">
        <is>
          <t>Medium</t>
        </is>
      </c>
      <c r="G65" s="10" t="inlineStr">
        <is>
          <t>Not run</t>
        </is>
      </c>
      <c r="H65" s="10" t="inlineStr"/>
      <c r="I65" s="11" t="inlineStr"/>
      <c r="J65" s="10" t="inlineStr"/>
    </row>
    <row r="66">
      <c r="A66" s="9" t="inlineStr">
        <is>
          <t>TC-065</t>
        </is>
      </c>
      <c r="B66" s="9" t="inlineStr">
        <is>
          <t>Agreement</t>
        </is>
      </c>
      <c r="C66" s="9" t="inlineStr">
        <is>
          <t>No address</t>
        </is>
      </c>
      <c r="D66" s="9" t="inlineStr">
        <is>
          <t>Student without address</t>
        </is>
      </c>
      <c r="E66" s="9" t="inlineStr">
        <is>
          <t>Dotted line after R/o</t>
        </is>
      </c>
      <c r="F66" s="9" t="inlineStr">
        <is>
          <t>Low</t>
        </is>
      </c>
      <c r="G66" s="10" t="inlineStr">
        <is>
          <t>Not run</t>
        </is>
      </c>
      <c r="H66" s="10" t="inlineStr"/>
      <c r="I66" s="11" t="inlineStr"/>
      <c r="J66" s="10" t="inlineStr"/>
    </row>
    <row r="67">
      <c r="A67" s="9" t="inlineStr">
        <is>
          <t>TC-066</t>
        </is>
      </c>
      <c r="B67" s="9" t="inlineStr">
        <is>
          <t>Agreement</t>
        </is>
      </c>
      <c r="C67" s="9" t="inlineStr">
        <is>
          <t>Student not checked in</t>
        </is>
      </c>
      <c r="D67" s="9" t="inlineStr">
        <is>
          <t>Agreement PDF for a student without a room</t>
        </is>
      </c>
      <c r="E67" s="9" t="inlineStr">
        <is>
          <t>Message to check in first</t>
        </is>
      </c>
      <c r="F67" s="9" t="inlineStr">
        <is>
          <t>Medium</t>
        </is>
      </c>
      <c r="G67" s="10" t="inlineStr">
        <is>
          <t>Not run</t>
        </is>
      </c>
      <c r="H67" s="10" t="inlineStr"/>
      <c r="I67" s="11" t="inlineStr"/>
      <c r="J67" s="10" t="inlineStr"/>
    </row>
    <row r="68">
      <c r="A68" s="9" t="inlineStr">
        <is>
          <t>TC-067</t>
        </is>
      </c>
      <c r="B68" s="9" t="inlineStr">
        <is>
          <t>Agreement</t>
        </is>
      </c>
      <c r="C68" s="9" t="inlineStr">
        <is>
          <t>Edit agreement text</t>
        </is>
      </c>
      <c r="D68" s="9" t="inlineStr">
        <is>
          <t>Students &gt; Agreement Text... &gt; change a rule &gt; Save &gt; create PDF</t>
        </is>
      </c>
      <c r="E68" s="9" t="inlineStr">
        <is>
          <t>PDF shows the changed text; Restore Default brings back the original</t>
        </is>
      </c>
      <c r="F68" s="9" t="inlineStr">
        <is>
          <t>Medium</t>
        </is>
      </c>
      <c r="G68" s="10" t="inlineStr">
        <is>
          <t>Not run</t>
        </is>
      </c>
      <c r="H68" s="10" t="inlineStr"/>
      <c r="I68" s="11" t="inlineStr"/>
      <c r="J68" s="10" t="inlineStr"/>
    </row>
    <row r="69">
      <c r="A69" s="9" t="inlineStr">
        <is>
          <t>TC-068</t>
        </is>
      </c>
      <c r="B69" s="9" t="inlineStr">
        <is>
          <t>Agreement</t>
        </is>
      </c>
      <c r="C69" s="9" t="inlineStr">
        <is>
          <t>Unknown field in text</t>
        </is>
      </c>
      <c r="D69" s="9" t="inlineStr">
        <is>
          <t>Type {BedNo} in the text &gt; Save</t>
        </is>
      </c>
      <c r="E69" s="9" t="inlineStr">
        <is>
          <t>Error naming the available fields</t>
        </is>
      </c>
      <c r="F69" s="9" t="inlineStr">
        <is>
          <t>Low</t>
        </is>
      </c>
      <c r="G69" s="10" t="inlineStr">
        <is>
          <t>Not run</t>
        </is>
      </c>
      <c r="H69" s="10" t="inlineStr"/>
      <c r="I69" s="11" t="inlineStr"/>
      <c r="J69" s="10" t="inlineStr"/>
    </row>
    <row r="70">
      <c r="A70" s="9" t="inlineStr">
        <is>
          <t>TC-069</t>
        </is>
      </c>
      <c r="B70" s="9" t="inlineStr">
        <is>
          <t>Attendance</t>
        </is>
      </c>
      <c r="C70" s="9" t="inlineStr">
        <is>
          <t>Tonight's sheet</t>
        </is>
      </c>
      <c r="D70" s="9" t="inlineStr">
        <is>
          <t>Students &gt; Attendance</t>
        </is>
      </c>
      <c r="E70" s="9" t="inlineStr">
        <is>
          <t>Today's date; all students in a room tonight with room and bed; all Present; 'Not marked yet'</t>
        </is>
      </c>
      <c r="F70" s="9" t="inlineStr">
        <is>
          <t>High</t>
        </is>
      </c>
      <c r="G70" s="10" t="inlineStr">
        <is>
          <t>Not run</t>
        </is>
      </c>
      <c r="H70" s="10" t="inlineStr"/>
      <c r="I70" s="11" t="inlineStr"/>
      <c r="J70" s="10" t="inlineStr"/>
    </row>
    <row r="71">
      <c r="A71" s="9" t="inlineStr">
        <is>
          <t>TC-070</t>
        </is>
      </c>
      <c r="B71" s="9" t="inlineStr">
        <is>
          <t>Attendance</t>
        </is>
      </c>
      <c r="C71" s="9" t="inlineStr">
        <is>
          <t>Mark absent and save</t>
        </is>
      </c>
      <c r="D71" s="9" t="inlineStr">
        <is>
          <t>Untick Present for 2 students &gt; Save Attendance</t>
        </is>
      </c>
      <c r="E71" s="9" t="inlineStr">
        <is>
          <t>'Saved: x present, 2 absent'; both in the Absent students list</t>
        </is>
      </c>
      <c r="F71" s="9" t="inlineStr">
        <is>
          <t>High</t>
        </is>
      </c>
      <c r="G71" s="10" t="inlineStr">
        <is>
          <t>Not run</t>
        </is>
      </c>
      <c r="H71" s="10" t="inlineStr"/>
      <c r="I71" s="11" t="inlineStr"/>
      <c r="J71" s="10" t="inlineStr"/>
    </row>
    <row r="72">
      <c r="A72" s="9" t="inlineStr">
        <is>
          <t>TC-071</t>
        </is>
      </c>
      <c r="B72" s="9" t="inlineStr">
        <is>
          <t>Attendance</t>
        </is>
      </c>
      <c r="C72" s="9" t="inlineStr">
        <is>
          <t>Earlier date</t>
        </is>
      </c>
      <c r="D72" s="9" t="inlineStr">
        <is>
          <t>Choose yesterday</t>
        </is>
      </c>
      <c r="E72" s="9" t="inlineStr">
        <is>
          <t>Yesterday's saved attendance (or all present, not marked)</t>
        </is>
      </c>
      <c r="F72" s="9" t="inlineStr">
        <is>
          <t>High</t>
        </is>
      </c>
      <c r="G72" s="10" t="inlineStr">
        <is>
          <t>Not run</t>
        </is>
      </c>
      <c r="H72" s="10" t="inlineStr"/>
      <c r="I72" s="11" t="inlineStr"/>
      <c r="J72" s="10" t="inlineStr"/>
    </row>
    <row r="73">
      <c r="A73" s="9" t="inlineStr">
        <is>
          <t>TC-072</t>
        </is>
      </c>
      <c r="B73" s="9" t="inlineStr">
        <is>
          <t>Attendance</t>
        </is>
      </c>
      <c r="C73" s="9" t="inlineStr">
        <is>
          <t>Correct an earlier date</t>
        </is>
      </c>
      <c r="D73" s="9" t="inlineStr">
        <is>
          <t>Change yesterday's attendance &gt; Save</t>
        </is>
      </c>
      <c r="E73" s="9" t="inlineStr">
        <is>
          <t>Correction saved</t>
        </is>
      </c>
      <c r="F73" s="9" t="inlineStr">
        <is>
          <t>Medium</t>
        </is>
      </c>
      <c r="G73" s="10" t="inlineStr">
        <is>
          <t>Not run</t>
        </is>
      </c>
      <c r="H73" s="10" t="inlineStr"/>
      <c r="I73" s="11" t="inlineStr"/>
      <c r="J73" s="10" t="inlineStr"/>
    </row>
    <row r="74">
      <c r="A74" s="9" t="inlineStr">
        <is>
          <t>TC-073</t>
        </is>
      </c>
      <c r="B74" s="9" t="inlineStr">
        <is>
          <t>Attendance</t>
        </is>
      </c>
      <c r="C74" s="9" t="inlineStr">
        <is>
          <t>Future date</t>
        </is>
      </c>
      <c r="D74" s="9" t="inlineStr">
        <is>
          <t>Try to choose tomorrow</t>
        </is>
      </c>
      <c r="E74" s="9" t="inlineStr">
        <is>
          <t>Not possible</t>
        </is>
      </c>
      <c r="F74" s="9" t="inlineStr">
        <is>
          <t>Low</t>
        </is>
      </c>
      <c r="G74" s="10" t="inlineStr">
        <is>
          <t>Not run</t>
        </is>
      </c>
      <c r="H74" s="10" t="inlineStr"/>
      <c r="I74" s="11" t="inlineStr"/>
      <c r="J74" s="10" t="inlineStr"/>
    </row>
    <row r="75">
      <c r="A75" s="9" t="inlineStr">
        <is>
          <t>TC-074</t>
        </is>
      </c>
      <c r="B75" s="9" t="inlineStr">
        <is>
          <t>Attendance</t>
        </is>
      </c>
      <c r="C75" s="9" t="inlineStr">
        <is>
          <t>Unsaved changes</t>
        </is>
      </c>
      <c r="D75" s="9" t="inlineStr">
        <is>
          <t>Change ticks, then pick another date</t>
        </is>
      </c>
      <c r="E75" s="9" t="inlineStr">
        <is>
          <t>Asks whether to discard the changes</t>
        </is>
      </c>
      <c r="F75" s="9" t="inlineStr">
        <is>
          <t>Medium</t>
        </is>
      </c>
      <c r="G75" s="10" t="inlineStr">
        <is>
          <t>Not run</t>
        </is>
      </c>
      <c r="H75" s="10" t="inlineStr"/>
      <c r="I75" s="11" t="inlineStr"/>
      <c r="J75" s="10" t="inlineStr"/>
    </row>
    <row r="76">
      <c r="A76" s="9" t="inlineStr">
        <is>
          <t>TC-075</t>
        </is>
      </c>
      <c r="B76" s="9" t="inlineStr">
        <is>
          <t>Attendance</t>
        </is>
      </c>
      <c r="C76" s="9" t="inlineStr">
        <is>
          <t>Checked out student</t>
        </is>
      </c>
      <c r="D76" s="9" t="inlineStr">
        <is>
          <t>Check out a student today</t>
        </is>
      </c>
      <c r="E76" s="9" t="inlineStr">
        <is>
          <t>Not on tonight's sheet; still on earlier nights</t>
        </is>
      </c>
      <c r="F76" s="9" t="inlineStr">
        <is>
          <t>Medium</t>
        </is>
      </c>
      <c r="G76" s="10" t="inlineStr">
        <is>
          <t>Not run</t>
        </is>
      </c>
      <c r="H76" s="10" t="inlineStr"/>
      <c r="I76" s="11" t="inlineStr"/>
      <c r="J76" s="10" t="inlineStr"/>
    </row>
    <row r="77">
      <c r="A77" s="9" t="inlineStr">
        <is>
          <t>TC-076</t>
        </is>
      </c>
      <c r="B77" s="9" t="inlineStr">
        <is>
          <t>Attendance</t>
        </is>
      </c>
      <c r="C77" s="9" t="inlineStr">
        <is>
          <t>Email parents of absent</t>
        </is>
      </c>
      <c r="D77" s="9" t="inlineStr">
        <is>
          <t>Email Parents &gt; confirm</t>
        </is>
      </c>
      <c r="E77" s="9" t="inlineStr">
        <is>
          <t>Emails sent; 'Emailed' shown for each; copy to admin; listed in Email history</t>
        </is>
      </c>
      <c r="F77" s="9" t="inlineStr">
        <is>
          <t>High</t>
        </is>
      </c>
      <c r="G77" s="10" t="inlineStr">
        <is>
          <t>Not run</t>
        </is>
      </c>
      <c r="H77" s="10" t="inlineStr"/>
      <c r="I77" s="11" t="inlineStr"/>
      <c r="J77" s="10" t="inlineStr"/>
    </row>
    <row r="78">
      <c r="A78" s="9" t="inlineStr">
        <is>
          <t>TC-077</t>
        </is>
      </c>
      <c r="B78" s="9" t="inlineStr">
        <is>
          <t>Attendance</t>
        </is>
      </c>
      <c r="C78" s="9" t="inlineStr">
        <is>
          <t>Email again</t>
        </is>
      </c>
      <c r="D78" s="9" t="inlineStr">
        <is>
          <t>Click Email Parents again for the same date</t>
        </is>
      </c>
      <c r="E78" s="9" t="inlineStr">
        <is>
          <t>Asks before emailing the same parents again</t>
        </is>
      </c>
      <c r="F78" s="9" t="inlineStr">
        <is>
          <t>Medium</t>
        </is>
      </c>
      <c r="G78" s="10" t="inlineStr">
        <is>
          <t>Not run</t>
        </is>
      </c>
      <c r="H78" s="10" t="inlineStr"/>
      <c r="I78" s="11" t="inlineStr"/>
      <c r="J78" s="10" t="inlineStr"/>
    </row>
    <row r="79">
      <c r="A79" s="9" t="inlineStr">
        <is>
          <t>TC-078</t>
        </is>
      </c>
      <c r="B79" s="9" t="inlineStr">
        <is>
          <t>Invoices</t>
        </is>
      </c>
      <c r="C79" s="9" t="inlineStr">
        <is>
          <t>Create invoice</t>
        </is>
      </c>
      <c r="D79" s="9" t="inlineStr">
        <is>
          <t>Invoices &gt; Create &gt; student, current period &gt; Create</t>
        </is>
      </c>
      <c r="E79" s="9" t="inlineStr">
        <is>
          <t>Invoice SBH/2026-27/0001 with rent installment, transport months, Wi-Fi and Laundry at Rs. 0</t>
        </is>
      </c>
      <c r="F79" s="9" t="inlineStr">
        <is>
          <t>High</t>
        </is>
      </c>
      <c r="G79" s="10" t="inlineStr">
        <is>
          <t>Not run</t>
        </is>
      </c>
      <c r="H79" s="10" t="inlineStr"/>
      <c r="I79" s="11" t="inlineStr"/>
      <c r="J79" s="10" t="inlineStr"/>
    </row>
    <row r="80">
      <c r="A80" s="9" t="inlineStr">
        <is>
          <t>TC-079</t>
        </is>
      </c>
      <c r="B80" s="9" t="inlineStr">
        <is>
          <t>Invoices</t>
        </is>
      </c>
      <c r="C80" s="9" t="inlineStr">
        <is>
          <t>Rent per frequency</t>
        </is>
      </c>
      <c r="D80" s="9" t="inlineStr">
        <is>
          <t>Hostel twice a year / four times a year, Double 120000</t>
        </is>
      </c>
      <c r="E80" s="9" t="inlineStr">
        <is>
          <t>Rent 60000 / 30000</t>
        </is>
      </c>
      <c r="F80" s="9" t="inlineStr">
        <is>
          <t>High</t>
        </is>
      </c>
      <c r="G80" s="10" t="inlineStr">
        <is>
          <t>Not run</t>
        </is>
      </c>
      <c r="H80" s="10" t="inlineStr"/>
      <c r="I80" s="11" t="inlineStr"/>
      <c r="J80" s="10" t="inlineStr"/>
    </row>
    <row r="81">
      <c r="A81" s="9" t="inlineStr">
        <is>
          <t>TC-080</t>
        </is>
      </c>
      <c r="B81" s="9" t="inlineStr">
        <is>
          <t>Invoices</t>
        </is>
      </c>
      <c r="C81" s="9" t="inlineStr">
        <is>
          <t>Joining mid period</t>
        </is>
      </c>
      <c r="D81" s="9" t="inlineStr">
        <is>
          <t>Student checked in during the period</t>
        </is>
      </c>
      <c r="E81" s="9" t="inlineStr">
        <is>
          <t>Full installment charged</t>
        </is>
      </c>
      <c r="F81" s="9" t="inlineStr">
        <is>
          <t>Medium</t>
        </is>
      </c>
      <c r="G81" s="10" t="inlineStr">
        <is>
          <t>Not run</t>
        </is>
      </c>
      <c r="H81" s="10" t="inlineStr"/>
      <c r="I81" s="11" t="inlineStr"/>
      <c r="J81" s="10" t="inlineStr"/>
    </row>
    <row r="82">
      <c r="A82" s="9" t="inlineStr">
        <is>
          <t>TC-081</t>
        </is>
      </c>
      <c r="B82" s="9" t="inlineStr">
        <is>
          <t>Invoices</t>
        </is>
      </c>
      <c r="C82" s="9" t="inlineStr">
        <is>
          <t>Transport part month</t>
        </is>
      </c>
      <c r="D82" s="9" t="inlineStr">
        <is>
          <t>Transport from 20 Aug in Jul-Dec period</t>
        </is>
      </c>
      <c r="E82" s="9" t="inlineStr">
        <is>
          <t>5 months charged (Aug to Dec)</t>
        </is>
      </c>
      <c r="F82" s="9" t="inlineStr">
        <is>
          <t>Medium</t>
        </is>
      </c>
      <c r="G82" s="10" t="inlineStr">
        <is>
          <t>Not run</t>
        </is>
      </c>
      <c r="H82" s="10" t="inlineStr"/>
      <c r="I82" s="11" t="inlineStr"/>
      <c r="J82" s="10" t="inlineStr"/>
    </row>
    <row r="83">
      <c r="A83" s="9" t="inlineStr">
        <is>
          <t>TC-082</t>
        </is>
      </c>
      <c r="B83" s="9" t="inlineStr">
        <is>
          <t>Invoices</t>
        </is>
      </c>
      <c r="C83" s="9" t="inlineStr">
        <is>
          <t>Same period twice</t>
        </is>
      </c>
      <c r="D83" s="9" t="inlineStr">
        <is>
          <t>Create a second invoice for the same student and period</t>
        </is>
      </c>
      <c r="E83" s="9" t="inlineStr">
        <is>
          <t>Refused</t>
        </is>
      </c>
      <c r="F83" s="9" t="inlineStr">
        <is>
          <t>High</t>
        </is>
      </c>
      <c r="G83" s="10" t="inlineStr">
        <is>
          <t>Not run</t>
        </is>
      </c>
      <c r="H83" s="10" t="inlineStr"/>
      <c r="I83" s="11" t="inlineStr"/>
      <c r="J83" s="10" t="inlineStr"/>
    </row>
    <row r="84">
      <c r="A84" s="9" t="inlineStr">
        <is>
          <t>TC-083</t>
        </is>
      </c>
      <c r="B84" s="9" t="inlineStr">
        <is>
          <t>Invoices</t>
        </is>
      </c>
      <c r="C84" s="9" t="inlineStr">
        <is>
          <t>Student without room in period</t>
        </is>
      </c>
      <c r="D84" s="9" t="inlineStr">
        <is>
          <t>Invoice a student who was not in a room</t>
        </is>
      </c>
      <c r="E84" s="9" t="inlineStr">
        <is>
          <t>Refused with a clear message</t>
        </is>
      </c>
      <c r="F84" s="9" t="inlineStr">
        <is>
          <t>Medium</t>
        </is>
      </c>
      <c r="G84" s="10" t="inlineStr">
        <is>
          <t>Not run</t>
        </is>
      </c>
      <c r="H84" s="10" t="inlineStr"/>
      <c r="I84" s="11" t="inlineStr"/>
      <c r="J84" s="10" t="inlineStr"/>
    </row>
    <row r="85">
      <c r="A85" s="9" t="inlineStr">
        <is>
          <t>TC-084</t>
        </is>
      </c>
      <c r="B85" s="9" t="inlineStr">
        <is>
          <t>Invoices</t>
        </is>
      </c>
      <c r="C85" s="9" t="inlineStr">
        <is>
          <t>Rent not set</t>
        </is>
      </c>
      <c r="D85" s="9" t="inlineStr">
        <is>
          <t>Invoice when the sharing type has no rent</t>
        </is>
      </c>
      <c r="E85" s="9" t="inlineStr">
        <is>
          <t>Refused: set the rent first</t>
        </is>
      </c>
      <c r="F85" s="9" t="inlineStr">
        <is>
          <t>Medium</t>
        </is>
      </c>
      <c r="G85" s="10" t="inlineStr">
        <is>
          <t>Not run</t>
        </is>
      </c>
      <c r="H85" s="10" t="inlineStr"/>
      <c r="I85" s="11" t="inlineStr"/>
      <c r="J85" s="10" t="inlineStr"/>
    </row>
    <row r="86">
      <c r="A86" s="9" t="inlineStr">
        <is>
          <t>TC-085</t>
        </is>
      </c>
      <c r="B86" s="9" t="inlineStr">
        <is>
          <t>Invoices</t>
        </is>
      </c>
      <c r="C86" s="9" t="inlineStr">
        <is>
          <t>Numbering</t>
        </is>
      </c>
      <c r="D86" s="9" t="inlineStr">
        <is>
          <t>Create three invoices</t>
        </is>
      </c>
      <c r="E86" s="9" t="inlineStr">
        <is>
          <t>0001, 0002, 0003 in the academic year</t>
        </is>
      </c>
      <c r="F86" s="9" t="inlineStr">
        <is>
          <t>Medium</t>
        </is>
      </c>
      <c r="G86" s="10" t="inlineStr">
        <is>
          <t>Not run</t>
        </is>
      </c>
      <c r="H86" s="10" t="inlineStr"/>
      <c r="I86" s="11" t="inlineStr"/>
      <c r="J86" s="10" t="inlineStr"/>
    </row>
    <row r="87">
      <c r="A87" s="9" t="inlineStr">
        <is>
          <t>TC-086</t>
        </is>
      </c>
      <c r="B87" s="9" t="inlineStr">
        <is>
          <t>Invoices</t>
        </is>
      </c>
      <c r="C87" s="9" t="inlineStr">
        <is>
          <t>View / Print and Save PDF</t>
        </is>
      </c>
      <c r="D87" s="9" t="inlineStr">
        <is>
          <t>Select invoice &gt; View / Print; Save PDF</t>
        </is>
      </c>
      <c r="E87" s="9" t="inlineStr">
        <is>
          <t>PDF with due date (invoice date + 15 days), items and totals</t>
        </is>
      </c>
      <c r="F87" s="9" t="inlineStr">
        <is>
          <t>High</t>
        </is>
      </c>
      <c r="G87" s="10" t="inlineStr">
        <is>
          <t>Not run</t>
        </is>
      </c>
      <c r="H87" s="10" t="inlineStr"/>
      <c r="I87" s="11" t="inlineStr"/>
      <c r="J87" s="10" t="inlineStr"/>
    </row>
    <row r="88">
      <c r="A88" s="9" t="inlineStr">
        <is>
          <t>TC-087</t>
        </is>
      </c>
      <c r="B88" s="9" t="inlineStr">
        <is>
          <t>Invoices</t>
        </is>
      </c>
      <c r="C88" s="9" t="inlineStr">
        <is>
          <t>Overdue filter</t>
        </is>
      </c>
      <c r="D88" s="9" t="inlineStr">
        <is>
          <t>Invoice older than 15 days unpaid &gt; filter Overdue</t>
        </is>
      </c>
      <c r="E88" s="9" t="inlineStr">
        <is>
          <t>Listed</t>
        </is>
      </c>
      <c r="F88" s="9" t="inlineStr">
        <is>
          <t>Medium</t>
        </is>
      </c>
      <c r="G88" s="10" t="inlineStr">
        <is>
          <t>Not run</t>
        </is>
      </c>
      <c r="H88" s="10" t="inlineStr"/>
      <c r="I88" s="11" t="inlineStr"/>
      <c r="J88" s="10" t="inlineStr"/>
    </row>
    <row r="89">
      <c r="A89" s="9" t="inlineStr">
        <is>
          <t>TC-088</t>
        </is>
      </c>
      <c r="B89" s="9" t="inlineStr">
        <is>
          <t>Invoices</t>
        </is>
      </c>
      <c r="C89" s="9" t="inlineStr">
        <is>
          <t>Delete invoice</t>
        </is>
      </c>
      <c r="D89" s="9" t="inlineStr">
        <is>
          <t>Delete an invoice without payments / with a payment</t>
        </is>
      </c>
      <c r="E89" s="9" t="inlineStr">
        <is>
          <t>Deleted / refused</t>
        </is>
      </c>
      <c r="F89" s="9" t="inlineStr">
        <is>
          <t>Medium</t>
        </is>
      </c>
      <c r="G89" s="10" t="inlineStr">
        <is>
          <t>Not run</t>
        </is>
      </c>
      <c r="H89" s="10" t="inlineStr"/>
      <c r="I89" s="11" t="inlineStr"/>
      <c r="J89" s="10" t="inlineStr"/>
    </row>
    <row r="90">
      <c r="A90" s="9" t="inlineStr">
        <is>
          <t>TC-089</t>
        </is>
      </c>
      <c r="B90" s="9" t="inlineStr">
        <is>
          <t>Payments</t>
        </is>
      </c>
      <c r="C90" s="9" t="inlineStr">
        <is>
          <t>Part payment</t>
        </is>
      </c>
      <c r="D90" s="9" t="inlineStr">
        <is>
          <t>Invoice 60000 &gt; Record Payment 25000 Cash</t>
        </is>
      </c>
      <c r="E90" s="9" t="inlineStr">
        <is>
          <t>Receipt SBH/R/2026-27/0001; invoice Partly paid, pending 35000</t>
        </is>
      </c>
      <c r="F90" s="9" t="inlineStr">
        <is>
          <t>High</t>
        </is>
      </c>
      <c r="G90" s="10" t="inlineStr">
        <is>
          <t>Not run</t>
        </is>
      </c>
      <c r="H90" s="10" t="inlineStr"/>
      <c r="I90" s="11" t="inlineStr"/>
      <c r="J90" s="10" t="inlineStr"/>
    </row>
    <row r="91">
      <c r="A91" s="9" t="inlineStr">
        <is>
          <t>TC-090</t>
        </is>
      </c>
      <c r="B91" s="9" t="inlineStr">
        <is>
          <t>Payments</t>
        </is>
      </c>
      <c r="C91" s="9" t="inlineStr">
        <is>
          <t>Full payment</t>
        </is>
      </c>
      <c r="D91" s="9" t="inlineStr">
        <is>
          <t>Pay the remaining 35000 by UPI with reference</t>
        </is>
      </c>
      <c r="E91" s="9" t="inlineStr">
        <is>
          <t>Invoice Paid; Record Payment disabled</t>
        </is>
      </c>
      <c r="F91" s="9" t="inlineStr">
        <is>
          <t>High</t>
        </is>
      </c>
      <c r="G91" s="10" t="inlineStr">
        <is>
          <t>Not run</t>
        </is>
      </c>
      <c r="H91" s="10" t="inlineStr"/>
      <c r="I91" s="11" t="inlineStr"/>
      <c r="J91" s="10" t="inlineStr"/>
    </row>
    <row r="92">
      <c r="A92" s="9" t="inlineStr">
        <is>
          <t>TC-091</t>
        </is>
      </c>
      <c r="B92" s="9" t="inlineStr">
        <is>
          <t>Payments</t>
        </is>
      </c>
      <c r="C92" s="9" t="inlineStr">
        <is>
          <t>More than pending</t>
        </is>
      </c>
      <c r="D92" s="9" t="inlineStr">
        <is>
          <t>Enter 40000 when 35000 is pending</t>
        </is>
      </c>
      <c r="E92" s="9" t="inlineStr">
        <is>
          <t>Refused (no advance payments)</t>
        </is>
      </c>
      <c r="F92" s="9" t="inlineStr">
        <is>
          <t>High</t>
        </is>
      </c>
      <c r="G92" s="10" t="inlineStr">
        <is>
          <t>Not run</t>
        </is>
      </c>
      <c r="H92" s="10" t="inlineStr"/>
      <c r="I92" s="11" t="inlineStr"/>
      <c r="J92" s="10" t="inlineStr"/>
    </row>
    <row r="93">
      <c r="A93" s="9" t="inlineStr">
        <is>
          <t>TC-092</t>
        </is>
      </c>
      <c r="B93" s="9" t="inlineStr">
        <is>
          <t>Payments</t>
        </is>
      </c>
      <c r="C93" s="9" t="inlineStr">
        <is>
          <t>Reference required</t>
        </is>
      </c>
      <c r="D93" s="9" t="inlineStr">
        <is>
          <t>Cheque / UPI / Bank transfer without reference</t>
        </is>
      </c>
      <c r="E93" s="9" t="inlineStr">
        <is>
          <t>Refused</t>
        </is>
      </c>
      <c r="F93" s="9" t="inlineStr">
        <is>
          <t>High</t>
        </is>
      </c>
      <c r="G93" s="10" t="inlineStr">
        <is>
          <t>Not run</t>
        </is>
      </c>
      <c r="H93" s="10" t="inlineStr"/>
      <c r="I93" s="11" t="inlineStr"/>
      <c r="J93" s="10" t="inlineStr"/>
    </row>
    <row r="94">
      <c r="A94" s="9" t="inlineStr">
        <is>
          <t>TC-093</t>
        </is>
      </c>
      <c r="B94" s="9" t="inlineStr">
        <is>
          <t>Payments</t>
        </is>
      </c>
      <c r="C94" s="9" t="inlineStr">
        <is>
          <t>Invalid amount</t>
        </is>
      </c>
      <c r="D94" s="9" t="inlineStr">
        <is>
          <t>0, negative, 100.555, letters</t>
        </is>
      </c>
      <c r="E94" s="9" t="inlineStr">
        <is>
          <t>Refused</t>
        </is>
      </c>
      <c r="F94" s="9" t="inlineStr">
        <is>
          <t>Medium</t>
        </is>
      </c>
      <c r="G94" s="10" t="inlineStr">
        <is>
          <t>Not run</t>
        </is>
      </c>
      <c r="H94" s="10" t="inlineStr"/>
      <c r="I94" s="11" t="inlineStr"/>
      <c r="J94" s="10" t="inlineStr"/>
    </row>
    <row r="95">
      <c r="A95" s="9" t="inlineStr">
        <is>
          <t>TC-094</t>
        </is>
      </c>
      <c r="B95" s="9" t="inlineStr">
        <is>
          <t>Payments</t>
        </is>
      </c>
      <c r="C95" s="9" t="inlineStr">
        <is>
          <t>Future date</t>
        </is>
      </c>
      <c r="D95" s="9" t="inlineStr">
        <is>
          <t>Payment date tomorrow</t>
        </is>
      </c>
      <c r="E95" s="9" t="inlineStr">
        <is>
          <t>Not possible</t>
        </is>
      </c>
      <c r="F95" s="9" t="inlineStr">
        <is>
          <t>Low</t>
        </is>
      </c>
      <c r="G95" s="10" t="inlineStr">
        <is>
          <t>Not run</t>
        </is>
      </c>
      <c r="H95" s="10" t="inlineStr"/>
      <c r="I95" s="11" t="inlineStr"/>
      <c r="J95" s="10" t="inlineStr"/>
    </row>
    <row r="96">
      <c r="A96" s="9" t="inlineStr">
        <is>
          <t>TC-095</t>
        </is>
      </c>
      <c r="B96" s="9" t="inlineStr">
        <is>
          <t>Payments</t>
        </is>
      </c>
      <c r="C96" s="9" t="inlineStr">
        <is>
          <t>Receipt PDF</t>
        </is>
      </c>
      <c r="D96" s="9" t="inlineStr">
        <is>
          <t>Payments &gt; View / Print</t>
        </is>
      </c>
      <c r="E96" s="9" t="inlineStr">
        <is>
          <t>Receipt with amount in words and balance pending</t>
        </is>
      </c>
      <c r="F96" s="9" t="inlineStr">
        <is>
          <t>High</t>
        </is>
      </c>
      <c r="G96" s="10" t="inlineStr">
        <is>
          <t>Not run</t>
        </is>
      </c>
      <c r="H96" s="10" t="inlineStr"/>
      <c r="I96" s="11" t="inlineStr"/>
      <c r="J96" s="10" t="inlineStr"/>
    </row>
    <row r="97">
      <c r="A97" s="9" t="inlineStr">
        <is>
          <t>TC-096</t>
        </is>
      </c>
      <c r="B97" s="9" t="inlineStr">
        <is>
          <t>Payments</t>
        </is>
      </c>
      <c r="C97" s="9" t="inlineStr">
        <is>
          <t>Delete payment</t>
        </is>
      </c>
      <c r="D97" s="9" t="inlineStr">
        <is>
          <t>Delete a payment &gt; confirm</t>
        </is>
      </c>
      <c r="E97" s="9" t="inlineStr">
        <is>
          <t>Amount pending again on the invoice</t>
        </is>
      </c>
      <c r="F97" s="9" t="inlineStr">
        <is>
          <t>Medium</t>
        </is>
      </c>
      <c r="G97" s="10" t="inlineStr">
        <is>
          <t>Not run</t>
        </is>
      </c>
      <c r="H97" s="10" t="inlineStr"/>
      <c r="I97" s="11" t="inlineStr"/>
      <c r="J97" s="10" t="inlineStr"/>
    </row>
    <row r="98">
      <c r="A98" s="9" t="inlineStr">
        <is>
          <t>TC-097</t>
        </is>
      </c>
      <c r="B98" s="9" t="inlineStr">
        <is>
          <t>Payments</t>
        </is>
      </c>
      <c r="C98" s="9" t="inlineStr">
        <is>
          <t>Filter and search</t>
        </is>
      </c>
      <c r="D98" s="9" t="inlineStr">
        <is>
          <t>Filter by method; search receipt or student</t>
        </is>
      </c>
      <c r="E98" s="9" t="inlineStr">
        <is>
          <t>List narrows; total received updates</t>
        </is>
      </c>
      <c r="F98" s="9" t="inlineStr">
        <is>
          <t>Low</t>
        </is>
      </c>
      <c r="G98" s="10" t="inlineStr">
        <is>
          <t>Not run</t>
        </is>
      </c>
      <c r="H98" s="10" t="inlineStr"/>
      <c r="I98" s="11" t="inlineStr"/>
      <c r="J98" s="10" t="inlineStr"/>
    </row>
    <row r="99">
      <c r="A99" s="9" t="inlineStr">
        <is>
          <t>TC-098</t>
        </is>
      </c>
      <c r="B99" s="9" t="inlineStr">
        <is>
          <t>Pending Dues</t>
        </is>
      </c>
      <c r="C99" s="9" t="inlineStr">
        <is>
          <t>One line per student</t>
        </is>
      </c>
      <c r="D99" s="9" t="inlineStr">
        <is>
          <t>Student with two unpaid invoices</t>
        </is>
      </c>
      <c r="E99" s="9" t="inlineStr">
        <is>
          <t>One line with total pending; invoices listed below when selected</t>
        </is>
      </c>
      <c r="F99" s="9" t="inlineStr">
        <is>
          <t>High</t>
        </is>
      </c>
      <c r="G99" s="10" t="inlineStr">
        <is>
          <t>Not run</t>
        </is>
      </c>
      <c r="H99" s="10" t="inlineStr"/>
      <c r="I99" s="11" t="inlineStr"/>
      <c r="J99" s="10" t="inlineStr"/>
    </row>
    <row r="100">
      <c r="A100" s="9" t="inlineStr">
        <is>
          <t>TC-099</t>
        </is>
      </c>
      <c r="B100" s="9" t="inlineStr">
        <is>
          <t>Pending Dues</t>
        </is>
      </c>
      <c r="C100" s="9" t="inlineStr">
        <is>
          <t>Overdue</t>
        </is>
      </c>
      <c r="D100" s="9" t="inlineStr">
        <is>
          <t>Invoice dated 20 days ago, unpaid</t>
        </is>
      </c>
      <c r="E100" s="9" t="inlineStr">
        <is>
          <t>Red, 'Overdue 5 days'; listed first</t>
        </is>
      </c>
      <c r="F100" s="9" t="inlineStr">
        <is>
          <t>High</t>
        </is>
      </c>
      <c r="G100" s="10" t="inlineStr">
        <is>
          <t>Not run</t>
        </is>
      </c>
      <c r="H100" s="10" t="inlineStr"/>
      <c r="I100" s="11" t="inlineStr"/>
      <c r="J100" s="10" t="inlineStr"/>
    </row>
    <row r="101">
      <c r="A101" s="9" t="inlineStr">
        <is>
          <t>TC-100</t>
        </is>
      </c>
      <c r="B101" s="9" t="inlineStr">
        <is>
          <t>Pending Dues</t>
        </is>
      </c>
      <c r="C101" s="9" t="inlineStr">
        <is>
          <t>Left student</t>
        </is>
      </c>
      <c r="D101" s="9" t="inlineStr">
        <is>
          <t>Check out a student with unpaid invoice</t>
        </is>
      </c>
      <c r="E101" s="9" t="inlineStr">
        <is>
          <t>Still listed with status Left</t>
        </is>
      </c>
      <c r="F101" s="9" t="inlineStr">
        <is>
          <t>Medium</t>
        </is>
      </c>
      <c r="G101" s="10" t="inlineStr">
        <is>
          <t>Not run</t>
        </is>
      </c>
      <c r="H101" s="10" t="inlineStr"/>
      <c r="I101" s="11" t="inlineStr"/>
      <c r="J101" s="10" t="inlineStr"/>
    </row>
    <row r="102">
      <c r="A102" s="9" t="inlineStr">
        <is>
          <t>TC-101</t>
        </is>
      </c>
      <c r="B102" s="9" t="inlineStr">
        <is>
          <t>Pending Dues</t>
        </is>
      </c>
      <c r="C102" s="9" t="inlineStr">
        <is>
          <t>Record payment from dues</t>
        </is>
      </c>
      <c r="D102" s="9" t="inlineStr">
        <is>
          <t>Select invoice &gt; Record Payment</t>
        </is>
      </c>
      <c r="E102" s="9" t="inlineStr">
        <is>
          <t>Payment recorded; amounts update</t>
        </is>
      </c>
      <c r="F102" s="9" t="inlineStr">
        <is>
          <t>Medium</t>
        </is>
      </c>
      <c r="G102" s="10" t="inlineStr">
        <is>
          <t>Not run</t>
        </is>
      </c>
      <c r="H102" s="10" t="inlineStr"/>
      <c r="I102" s="11" t="inlineStr"/>
      <c r="J102" s="10" t="inlineStr"/>
    </row>
    <row r="103">
      <c r="A103" s="9" t="inlineStr">
        <is>
          <t>TC-102</t>
        </is>
      </c>
      <c r="B103" s="9" t="inlineStr">
        <is>
          <t>Pending Dues</t>
        </is>
      </c>
      <c r="C103" s="9" t="inlineStr">
        <is>
          <t>Send reminder</t>
        </is>
      </c>
      <c r="D103" s="9" t="inlineStr">
        <is>
          <t>Overdue student &gt; Send Reminder</t>
        </is>
      </c>
      <c r="E103" s="9" t="inlineStr">
        <is>
          <t>Email with overdue invoices and PDFs; Last reminder date shown</t>
        </is>
      </c>
      <c r="F103" s="9" t="inlineStr">
        <is>
          <t>High</t>
        </is>
      </c>
      <c r="G103" s="10" t="inlineStr">
        <is>
          <t>Not run</t>
        </is>
      </c>
      <c r="H103" s="10" t="inlineStr"/>
      <c r="I103" s="11" t="inlineStr"/>
      <c r="J103" s="10" t="inlineStr"/>
    </row>
    <row r="104">
      <c r="A104" s="9" t="inlineStr">
        <is>
          <t>TC-103</t>
        </is>
      </c>
      <c r="B104" s="9" t="inlineStr">
        <is>
          <t>Pending Dues</t>
        </is>
      </c>
      <c r="C104" s="9" t="inlineStr">
        <is>
          <t>Remind all overdue</t>
        </is>
      </c>
      <c r="D104" s="9" t="inlineStr">
        <is>
          <t>Remind All Overdue</t>
        </is>
      </c>
      <c r="E104" s="9" t="inlineStr">
        <is>
          <t>One email per overdue student; problems listed</t>
        </is>
      </c>
      <c r="F104" s="9" t="inlineStr">
        <is>
          <t>Medium</t>
        </is>
      </c>
      <c r="G104" s="10" t="inlineStr">
        <is>
          <t>Not run</t>
        </is>
      </c>
      <c r="H104" s="10" t="inlineStr"/>
      <c r="I104" s="11" t="inlineStr"/>
      <c r="J104" s="10" t="inlineStr"/>
    </row>
    <row r="105">
      <c r="A105" s="9" t="inlineStr">
        <is>
          <t>TC-104</t>
        </is>
      </c>
      <c r="B105" s="9" t="inlineStr">
        <is>
          <t>Pending Dues</t>
        </is>
      </c>
      <c r="C105" s="9" t="inlineStr">
        <is>
          <t>Export PDF</t>
        </is>
      </c>
      <c r="D105" s="9" t="inlineStr">
        <is>
          <t>Export PDF</t>
        </is>
      </c>
      <c r="E105" s="9" t="inlineStr">
        <is>
          <t>PDF of the list as shown, with totals and page numbers</t>
        </is>
      </c>
      <c r="F105" s="9" t="inlineStr">
        <is>
          <t>Medium</t>
        </is>
      </c>
      <c r="G105" s="10" t="inlineStr">
        <is>
          <t>Not run</t>
        </is>
      </c>
      <c r="H105" s="10" t="inlineStr"/>
      <c r="I105" s="11" t="inlineStr"/>
      <c r="J105" s="10" t="inlineStr"/>
    </row>
    <row r="106">
      <c r="A106" s="9" t="inlineStr">
        <is>
          <t>TC-105</t>
        </is>
      </c>
      <c r="B106" s="9" t="inlineStr">
        <is>
          <t>Email</t>
        </is>
      </c>
      <c r="C106" s="9" t="inlineStr">
        <is>
          <t>Test email</t>
        </is>
      </c>
      <c r="D106" s="9" t="inlineStr">
        <is>
          <t>Email Settings &gt; app password &gt; Send test to address &gt; Send Test Email</t>
        </is>
      </c>
      <c r="E106" s="9" t="inlineStr">
        <is>
          <t>'Test email sent'; email arrives</t>
        </is>
      </c>
      <c r="F106" s="9" t="inlineStr">
        <is>
          <t>High</t>
        </is>
      </c>
      <c r="G106" s="10" t="inlineStr">
        <is>
          <t>Not run</t>
        </is>
      </c>
      <c r="H106" s="10" t="inlineStr"/>
      <c r="I106" s="11" t="inlineStr"/>
      <c r="J106" s="10" t="inlineStr"/>
    </row>
    <row r="107">
      <c r="A107" s="9" t="inlineStr">
        <is>
          <t>TC-106</t>
        </is>
      </c>
      <c r="B107" s="9" t="inlineStr">
        <is>
          <t>Email</t>
        </is>
      </c>
      <c r="C107" s="9" t="inlineStr">
        <is>
          <t>Wrong app password</t>
        </is>
      </c>
      <c r="D107" s="9" t="inlineStr">
        <is>
          <t>Enter a wrong app password &gt; Send Test Email</t>
        </is>
      </c>
      <c r="E107" s="9" t="inlineStr">
        <is>
          <t>Message 'Gmail did not accept the sender address and app password'</t>
        </is>
      </c>
      <c r="F107" s="9" t="inlineStr">
        <is>
          <t>High</t>
        </is>
      </c>
      <c r="G107" s="10" t="inlineStr">
        <is>
          <t>Not run</t>
        </is>
      </c>
      <c r="H107" s="10" t="inlineStr"/>
      <c r="I107" s="11" t="inlineStr"/>
      <c r="J107" s="10" t="inlineStr"/>
    </row>
    <row r="108">
      <c r="A108" s="9" t="inlineStr">
        <is>
          <t>TC-107</t>
        </is>
      </c>
      <c r="B108" s="9" t="inlineStr">
        <is>
          <t>Email</t>
        </is>
      </c>
      <c r="C108" s="9" t="inlineStr">
        <is>
          <t>No internet</t>
        </is>
      </c>
      <c r="D108" s="9" t="inlineStr">
        <is>
          <t>Disconnect internet &gt; send</t>
        </is>
      </c>
      <c r="E108" s="9" t="inlineStr">
        <is>
          <t>Message 'Could not connect to smtp.gmail.com'</t>
        </is>
      </c>
      <c r="F108" s="9" t="inlineStr">
        <is>
          <t>Medium</t>
        </is>
      </c>
      <c r="G108" s="10" t="inlineStr">
        <is>
          <t>Not run</t>
        </is>
      </c>
      <c r="H108" s="10" t="inlineStr"/>
      <c r="I108" s="11" t="inlineStr"/>
      <c r="J108" s="10" t="inlineStr"/>
    </row>
    <row r="109">
      <c r="A109" s="9" t="inlineStr">
        <is>
          <t>TC-108</t>
        </is>
      </c>
      <c r="B109" s="9" t="inlineStr">
        <is>
          <t>Email</t>
        </is>
      </c>
      <c r="C109" s="9" t="inlineStr">
        <is>
          <t>Email invoice</t>
        </is>
      </c>
      <c r="D109" s="9" t="inlineStr">
        <is>
          <t>Invoices &gt; Email</t>
        </is>
      </c>
      <c r="E109" s="9" t="inlineStr">
        <is>
          <t>Parent receives the invoice PDF; admin gets a copy</t>
        </is>
      </c>
      <c r="F109" s="9" t="inlineStr">
        <is>
          <t>High</t>
        </is>
      </c>
      <c r="G109" s="10" t="inlineStr">
        <is>
          <t>Not run</t>
        </is>
      </c>
      <c r="H109" s="10" t="inlineStr"/>
      <c r="I109" s="11" t="inlineStr"/>
      <c r="J109" s="10" t="inlineStr"/>
    </row>
    <row r="110">
      <c r="A110" s="9" t="inlineStr">
        <is>
          <t>TC-109</t>
        </is>
      </c>
      <c r="B110" s="9" t="inlineStr">
        <is>
          <t>Email</t>
        </is>
      </c>
      <c r="C110" s="9" t="inlineStr">
        <is>
          <t>Email receipt</t>
        </is>
      </c>
      <c r="D110" s="9" t="inlineStr">
        <is>
          <t>Payments &gt; Email Receipt</t>
        </is>
      </c>
      <c r="E110" s="9" t="inlineStr">
        <is>
          <t>Parent receives the receipt PDF; admin copy</t>
        </is>
      </c>
      <c r="F110" s="9" t="inlineStr">
        <is>
          <t>High</t>
        </is>
      </c>
      <c r="G110" s="10" t="inlineStr">
        <is>
          <t>Not run</t>
        </is>
      </c>
      <c r="H110" s="10" t="inlineStr"/>
      <c r="I110" s="11" t="inlineStr"/>
      <c r="J110" s="10" t="inlineStr"/>
    </row>
    <row r="111">
      <c r="A111" s="9" t="inlineStr">
        <is>
          <t>TC-110</t>
        </is>
      </c>
      <c r="B111" s="9" t="inlineStr">
        <is>
          <t>Email</t>
        </is>
      </c>
      <c r="C111" s="9" t="inlineStr">
        <is>
          <t>Edit email text</t>
        </is>
      </c>
      <c r="D111" s="9" t="inlineStr">
        <is>
          <t>Edit Invoice email subject &gt; Save &gt; send</t>
        </is>
      </c>
      <c r="E111" s="9" t="inlineStr">
        <is>
          <t>New subject used; Restore Default works</t>
        </is>
      </c>
      <c r="F111" s="9" t="inlineStr">
        <is>
          <t>Medium</t>
        </is>
      </c>
      <c r="G111" s="10" t="inlineStr">
        <is>
          <t>Not run</t>
        </is>
      </c>
      <c r="H111" s="10" t="inlineStr"/>
      <c r="I111" s="11" t="inlineStr"/>
      <c r="J111" s="10" t="inlineStr"/>
    </row>
    <row r="112">
      <c r="A112" s="9" t="inlineStr">
        <is>
          <t>TC-111</t>
        </is>
      </c>
      <c r="B112" s="9" t="inlineStr">
        <is>
          <t>Email</t>
        </is>
      </c>
      <c r="C112" s="9" t="inlineStr">
        <is>
          <t>Unknown field</t>
        </is>
      </c>
      <c r="D112" s="9" t="inlineStr">
        <is>
          <t>Type {ReceiptNo} in Receipt email &gt; Save</t>
        </is>
      </c>
      <c r="E112" s="9" t="inlineStr">
        <is>
          <t>Error listing the available fields</t>
        </is>
      </c>
      <c r="F112" s="9" t="inlineStr">
        <is>
          <t>Low</t>
        </is>
      </c>
      <c r="G112" s="10" t="inlineStr">
        <is>
          <t>Not run</t>
        </is>
      </c>
      <c r="H112" s="10" t="inlineStr"/>
      <c r="I112" s="11" t="inlineStr"/>
      <c r="J112" s="10" t="inlineStr"/>
    </row>
    <row r="113">
      <c r="A113" s="9" t="inlineStr">
        <is>
          <t>TC-112</t>
        </is>
      </c>
      <c r="B113" s="9" t="inlineStr">
        <is>
          <t>Email</t>
        </is>
      </c>
      <c r="C113" s="9" t="inlineStr">
        <is>
          <t>Email history</t>
        </is>
      </c>
      <c r="D113" s="9" t="inlineStr">
        <is>
          <t>Email Settings &gt; Email history</t>
        </is>
      </c>
      <c r="E113" s="9" t="inlineStr">
        <is>
          <t>All sent and failed emails; failed in red with reason</t>
        </is>
      </c>
      <c r="F113" s="9" t="inlineStr">
        <is>
          <t>Medium</t>
        </is>
      </c>
      <c r="G113" s="10" t="inlineStr">
        <is>
          <t>Not run</t>
        </is>
      </c>
      <c r="H113" s="10" t="inlineStr"/>
      <c r="I113" s="11" t="inlineStr"/>
      <c r="J113" s="10" t="inlineStr"/>
    </row>
    <row r="114">
      <c r="A114" s="9" t="inlineStr">
        <is>
          <t>TC-113</t>
        </is>
      </c>
      <c r="B114" s="9" t="inlineStr">
        <is>
          <t>Email</t>
        </is>
      </c>
      <c r="C114" s="9" t="inlineStr">
        <is>
          <t>Not set up</t>
        </is>
      </c>
      <c r="D114" s="9" t="inlineStr">
        <is>
          <t>Send an email before entering the app password</t>
        </is>
      </c>
      <c r="E114" s="9" t="inlineStr">
        <is>
          <t>Message to set up Email Settings first</t>
        </is>
      </c>
      <c r="F114" s="9" t="inlineStr">
        <is>
          <t>Medium</t>
        </is>
      </c>
      <c r="G114" s="10" t="inlineStr">
        <is>
          <t>Not run</t>
        </is>
      </c>
      <c r="H114" s="10" t="inlineStr"/>
      <c r="I114" s="11" t="inlineStr"/>
      <c r="J114" s="10" t="inlineStr"/>
    </row>
    <row r="115">
      <c r="A115" s="9" t="inlineStr">
        <is>
          <t>TC-114</t>
        </is>
      </c>
      <c r="B115" s="9" t="inlineStr">
        <is>
          <t>Dashboard</t>
        </is>
      </c>
      <c r="C115" s="9" t="inlineStr">
        <is>
          <t>Figures</t>
        </is>
      </c>
      <c r="D115" s="9" t="inlineStr">
        <is>
          <t>Compare with Students, Rooms, Invoices, Payments, Pending Dues</t>
        </is>
      </c>
      <c r="E115" s="9" t="inlineStr">
        <is>
          <t>Students, beds, invoiced, received this month, pending and overdue match</t>
        </is>
      </c>
      <c r="F115" s="9" t="inlineStr">
        <is>
          <t>High</t>
        </is>
      </c>
      <c r="G115" s="10" t="inlineStr">
        <is>
          <t>Not run</t>
        </is>
      </c>
      <c r="H115" s="10" t="inlineStr"/>
      <c r="I115" s="11" t="inlineStr"/>
      <c r="J115" s="10" t="inlineStr"/>
    </row>
    <row r="116">
      <c r="A116" s="9" t="inlineStr">
        <is>
          <t>TC-115</t>
        </is>
      </c>
      <c r="B116" s="9" t="inlineStr">
        <is>
          <t>Dashboard</t>
        </is>
      </c>
      <c r="C116" s="9" t="inlineStr">
        <is>
          <t>Chart</t>
        </is>
      </c>
      <c r="D116" s="9" t="inlineStr">
        <is>
          <t>Record a payment today &gt; reopen Dashboard</t>
        </is>
      </c>
      <c r="E116" s="9" t="inlineStr">
        <is>
          <t>Current month bar and Received increase; hover shows exact amount</t>
        </is>
      </c>
      <c r="F116" s="9" t="inlineStr">
        <is>
          <t>Medium</t>
        </is>
      </c>
      <c r="G116" s="10" t="inlineStr">
        <is>
          <t>Not run</t>
        </is>
      </c>
      <c r="H116" s="10" t="inlineStr"/>
      <c r="I116" s="11" t="inlineStr"/>
      <c r="J116" s="10" t="inlineStr"/>
    </row>
    <row r="117">
      <c r="A117" s="9" t="inlineStr">
        <is>
          <t>TC-116</t>
        </is>
      </c>
      <c r="B117" s="9" t="inlineStr">
        <is>
          <t>Dashboard</t>
        </is>
      </c>
      <c r="C117" s="9" t="inlineStr">
        <is>
          <t>Lists</t>
        </is>
      </c>
      <c r="D117" s="9" t="inlineStr">
        <is>
          <t>Check the three lists</t>
        </is>
      </c>
      <c r="E117" s="9" t="inlineStr">
        <is>
          <t>5 most overdue, latest payments, latest check-ins</t>
        </is>
      </c>
      <c r="F117" s="9" t="inlineStr">
        <is>
          <t>Low</t>
        </is>
      </c>
      <c r="G117" s="10" t="inlineStr">
        <is>
          <t>Not run</t>
        </is>
      </c>
      <c r="H117" s="10" t="inlineStr"/>
      <c r="I117" s="11" t="inlineStr"/>
      <c r="J117" s="10" t="inlineStr"/>
    </row>
    <row r="118">
      <c r="A118" s="9" t="inlineStr">
        <is>
          <t>TC-117</t>
        </is>
      </c>
      <c r="B118" s="9" t="inlineStr">
        <is>
          <t>Dashboard</t>
        </is>
      </c>
      <c r="C118" s="9" t="inlineStr">
        <is>
          <t>Other hostel</t>
        </is>
      </c>
      <c r="D118" s="9" t="inlineStr">
        <is>
          <t>Switch hostel</t>
        </is>
      </c>
      <c r="E118" s="9" t="inlineStr">
        <is>
          <t>All figures change to that hostel</t>
        </is>
      </c>
      <c r="F118" s="9" t="inlineStr">
        <is>
          <t>Medium</t>
        </is>
      </c>
      <c r="G118" s="10" t="inlineStr">
        <is>
          <t>Not run</t>
        </is>
      </c>
      <c r="H118" s="10" t="inlineStr"/>
      <c r="I118" s="11" t="inlineStr"/>
      <c r="J118" s="10" t="inlineStr"/>
    </row>
    <row r="119">
      <c r="A119" s="9" t="inlineStr">
        <is>
          <t>TC-118</t>
        </is>
      </c>
      <c r="B119" s="9" t="inlineStr">
        <is>
          <t>Reports</t>
        </is>
      </c>
      <c r="C119" s="9" t="inlineStr">
        <is>
          <t>Student list</t>
        </is>
      </c>
      <c r="D119" s="9" t="inlineStr">
        <is>
          <t>Reports &gt; Student list &gt; Active &gt; Show</t>
        </is>
      </c>
      <c r="E119" s="9" t="inlineStr">
        <is>
          <t>Active students with masked Aadhaar; total count</t>
        </is>
      </c>
      <c r="F119" s="9" t="inlineStr">
        <is>
          <t>High</t>
        </is>
      </c>
      <c r="G119" s="10" t="inlineStr">
        <is>
          <t>Not run</t>
        </is>
      </c>
      <c r="H119" s="10" t="inlineStr"/>
      <c r="I119" s="11" t="inlineStr"/>
      <c r="J119" s="10" t="inlineStr"/>
    </row>
    <row r="120">
      <c r="A120" s="9" t="inlineStr">
        <is>
          <t>TC-119</t>
        </is>
      </c>
      <c r="B120" s="9" t="inlineStr">
        <is>
          <t>Reports</t>
        </is>
      </c>
      <c r="C120" s="9" t="inlineStr">
        <is>
          <t>Room occupancy</t>
        </is>
      </c>
      <c r="D120" s="9" t="inlineStr">
        <is>
          <t>Room occupancy &gt; Show</t>
        </is>
      </c>
      <c r="E120" s="9" t="inlineStr">
        <is>
          <t>Each room, beds, occupied, free, students; totals match Rooms screen</t>
        </is>
      </c>
      <c r="F120" s="9" t="inlineStr">
        <is>
          <t>High</t>
        </is>
      </c>
      <c r="G120" s="10" t="inlineStr">
        <is>
          <t>Not run</t>
        </is>
      </c>
      <c r="H120" s="10" t="inlineStr"/>
      <c r="I120" s="11" t="inlineStr"/>
      <c r="J120" s="10" t="inlineStr"/>
    </row>
    <row r="121">
      <c r="A121" s="9" t="inlineStr">
        <is>
          <t>TC-120</t>
        </is>
      </c>
      <c r="B121" s="9" t="inlineStr">
        <is>
          <t>Reports</t>
        </is>
      </c>
      <c r="C121" s="9" t="inlineStr">
        <is>
          <t>Payments received</t>
        </is>
      </c>
      <c r="D121" s="9" t="inlineStr">
        <is>
          <t>Dates of the month &gt; Show</t>
        </is>
      </c>
      <c r="E121" s="9" t="inlineStr">
        <is>
          <t>Payments with a total per day, per method and grand total</t>
        </is>
      </c>
      <c r="F121" s="9" t="inlineStr">
        <is>
          <t>High</t>
        </is>
      </c>
      <c r="G121" s="10" t="inlineStr">
        <is>
          <t>Not run</t>
        </is>
      </c>
      <c r="H121" s="10" t="inlineStr"/>
      <c r="I121" s="11" t="inlineStr"/>
      <c r="J121" s="10" t="inlineStr"/>
    </row>
    <row r="122">
      <c r="A122" s="9" t="inlineStr">
        <is>
          <t>TC-121</t>
        </is>
      </c>
      <c r="B122" s="9" t="inlineStr">
        <is>
          <t>Reports</t>
        </is>
      </c>
      <c r="C122" s="9" t="inlineStr">
        <is>
          <t>Invoices report</t>
        </is>
      </c>
      <c r="D122" s="9" t="inlineStr">
        <is>
          <t>Dates and status Overdue</t>
        </is>
      </c>
      <c r="E122" s="9" t="inlineStr">
        <is>
          <t>Only overdue invoices in the dates; totals</t>
        </is>
      </c>
      <c r="F122" s="9" t="inlineStr">
        <is>
          <t>Medium</t>
        </is>
      </c>
      <c r="G122" s="10" t="inlineStr">
        <is>
          <t>Not run</t>
        </is>
      </c>
      <c r="H122" s="10" t="inlineStr"/>
      <c r="I122" s="11" t="inlineStr"/>
      <c r="J122" s="10" t="inlineStr"/>
    </row>
    <row r="123">
      <c r="A123" s="9" t="inlineStr">
        <is>
          <t>TC-122</t>
        </is>
      </c>
      <c r="B123" s="9" t="inlineStr">
        <is>
          <t>Reports</t>
        </is>
      </c>
      <c r="C123" s="9" t="inlineStr">
        <is>
          <t>Export PDF</t>
        </is>
      </c>
      <c r="D123" s="9" t="inlineStr">
        <is>
          <t>Any report &gt; Export PDF</t>
        </is>
      </c>
      <c r="E123" s="9" t="inlineStr">
        <is>
          <t>PDF opens, headings on every page, page numbers</t>
        </is>
      </c>
      <c r="F123" s="9" t="inlineStr">
        <is>
          <t>Medium</t>
        </is>
      </c>
      <c r="G123" s="10" t="inlineStr">
        <is>
          <t>Not run</t>
        </is>
      </c>
      <c r="H123" s="10" t="inlineStr"/>
      <c r="I123" s="11" t="inlineStr"/>
      <c r="J123" s="10" t="inlineStr"/>
    </row>
    <row r="124">
      <c r="A124" s="9" t="inlineStr">
        <is>
          <t>TC-123</t>
        </is>
      </c>
      <c r="B124" s="9" t="inlineStr">
        <is>
          <t>Reports</t>
        </is>
      </c>
      <c r="C124" s="9" t="inlineStr">
        <is>
          <t>Export Excel</t>
        </is>
      </c>
      <c r="D124" s="9" t="inlineStr">
        <is>
          <t>Any report &gt; Export Excel</t>
        </is>
      </c>
      <c r="E124" s="9" t="inlineStr">
        <is>
          <t>Excel opens; amounts are numbers in rupees, dates are dates, filters work</t>
        </is>
      </c>
      <c r="F124" s="9" t="inlineStr">
        <is>
          <t>Medium</t>
        </is>
      </c>
      <c r="G124" s="10" t="inlineStr">
        <is>
          <t>Not run</t>
        </is>
      </c>
      <c r="H124" s="10" t="inlineStr"/>
      <c r="I124" s="11" t="inlineStr"/>
      <c r="J124" s="10" t="inlineStr"/>
    </row>
    <row r="125">
      <c r="A125" s="9" t="inlineStr">
        <is>
          <t>TC-124</t>
        </is>
      </c>
      <c r="B125" s="9" t="inlineStr">
        <is>
          <t>Reports</t>
        </is>
      </c>
      <c r="C125" s="9" t="inlineStr">
        <is>
          <t>Wrong dates</t>
        </is>
      </c>
      <c r="D125" s="9" t="inlineStr">
        <is>
          <t>From after To</t>
        </is>
      </c>
      <c r="E125" s="9" t="inlineStr">
        <is>
          <t>Error message</t>
        </is>
      </c>
      <c r="F125" s="9" t="inlineStr">
        <is>
          <t>Low</t>
        </is>
      </c>
      <c r="G125" s="10" t="inlineStr">
        <is>
          <t>Not run</t>
        </is>
      </c>
      <c r="H125" s="10" t="inlineStr"/>
      <c r="I125" s="11" t="inlineStr"/>
      <c r="J125" s="10" t="inlineStr"/>
    </row>
    <row r="126">
      <c r="A126" s="9" t="inlineStr">
        <is>
          <t>TC-125</t>
        </is>
      </c>
      <c r="B126" s="9" t="inlineStr">
        <is>
          <t>Backup / Restore</t>
        </is>
      </c>
      <c r="C126" s="9" t="inlineStr">
        <is>
          <t>Backup now</t>
        </is>
      </c>
      <c r="D126" s="9" t="inlineStr">
        <is>
          <t>Backup / Restore &gt; Backup Now</t>
        </is>
      </c>
      <c r="E126" s="9" t="inlineStr">
        <is>
          <t>Zip in Backups listed as 'Backup Now'; contains database, photos, documents</t>
        </is>
      </c>
      <c r="F126" s="9" t="inlineStr">
        <is>
          <t>High</t>
        </is>
      </c>
      <c r="G126" s="10" t="inlineStr">
        <is>
          <t>Not run</t>
        </is>
      </c>
      <c r="H126" s="10" t="inlineStr"/>
      <c r="I126" s="11" t="inlineStr"/>
      <c r="J126" s="10" t="inlineStr"/>
    </row>
    <row r="127">
      <c r="A127" s="9" t="inlineStr">
        <is>
          <t>TC-126</t>
        </is>
      </c>
      <c r="B127" s="9" t="inlineStr">
        <is>
          <t>Backup / Restore</t>
        </is>
      </c>
      <c r="C127" s="9" t="inlineStr">
        <is>
          <t>Daily automatic backup</t>
        </is>
      </c>
      <c r="D127" s="9" t="inlineStr">
        <is>
          <t>Close the program (first time today)</t>
        </is>
      </c>
      <c r="E127" s="9" t="inlineStr">
        <is>
          <t>Automatic backup made; only one per day</t>
        </is>
      </c>
      <c r="F127" s="9" t="inlineStr">
        <is>
          <t>High</t>
        </is>
      </c>
      <c r="G127" s="10" t="inlineStr">
        <is>
          <t>Not run</t>
        </is>
      </c>
      <c r="H127" s="10" t="inlineStr"/>
      <c r="I127" s="11" t="inlineStr"/>
      <c r="J127" s="10" t="inlineStr"/>
    </row>
    <row r="128">
      <c r="A128" s="9" t="inlineStr">
        <is>
          <t>TC-127</t>
        </is>
      </c>
      <c r="B128" s="9" t="inlineStr">
        <is>
          <t>Backup / Restore</t>
        </is>
      </c>
      <c r="C128" s="9" t="inlineStr">
        <is>
          <t>Second copy folder</t>
        </is>
      </c>
      <c r="D128" s="9" t="inlineStr">
        <is>
          <t>Choose a USB / Google Drive folder &gt; Backup Now</t>
        </is>
      </c>
      <c r="E128" s="9" t="inlineStr">
        <is>
          <t>Zip also in that folder</t>
        </is>
      </c>
      <c r="F128" s="9" t="inlineStr">
        <is>
          <t>Medium</t>
        </is>
      </c>
      <c r="G128" s="10" t="inlineStr">
        <is>
          <t>Not run</t>
        </is>
      </c>
      <c r="H128" s="10" t="inlineStr"/>
      <c r="I128" s="11" t="inlineStr"/>
      <c r="J128" s="10" t="inlineStr"/>
    </row>
    <row r="129">
      <c r="A129" s="9" t="inlineStr">
        <is>
          <t>TC-128</t>
        </is>
      </c>
      <c r="B129" s="9" t="inlineStr">
        <is>
          <t>Backup / Restore</t>
        </is>
      </c>
      <c r="C129" s="9" t="inlineStr">
        <is>
          <t>Second folder missing</t>
        </is>
      </c>
      <c r="D129" s="9" t="inlineStr">
        <is>
          <t>Remove the USB &gt; Backup Now</t>
        </is>
      </c>
      <c r="E129" s="9" t="inlineStr">
        <is>
          <t>Backup made; message that the second copy failed</t>
        </is>
      </c>
      <c r="F129" s="9" t="inlineStr">
        <is>
          <t>Low</t>
        </is>
      </c>
      <c r="G129" s="10" t="inlineStr">
        <is>
          <t>Not run</t>
        </is>
      </c>
      <c r="H129" s="10" t="inlineStr"/>
      <c r="I129" s="11" t="inlineStr"/>
      <c r="J129" s="10" t="inlineStr"/>
    </row>
    <row r="130">
      <c r="A130" s="9" t="inlineStr">
        <is>
          <t>TC-129</t>
        </is>
      </c>
      <c r="B130" s="9" t="inlineStr">
        <is>
          <t>Backup / Restore</t>
        </is>
      </c>
      <c r="C130" s="9" t="inlineStr">
        <is>
          <t>Restore</t>
        </is>
      </c>
      <c r="D130" s="9" t="inlineStr">
        <is>
          <t>Add a test hostel &gt; Restore an older backup &gt; confirm</t>
        </is>
      </c>
      <c r="E130" s="9" t="inlineStr">
        <is>
          <t>Program restarts; test hostel gone; 'Before a restore' backup created</t>
        </is>
      </c>
      <c r="F130" s="9" t="inlineStr">
        <is>
          <t>High</t>
        </is>
      </c>
      <c r="G130" s="10" t="inlineStr">
        <is>
          <t>Not run</t>
        </is>
      </c>
      <c r="H130" s="10" t="inlineStr"/>
      <c r="I130" s="11" t="inlineStr"/>
      <c r="J130" s="10" t="inlineStr"/>
    </row>
    <row r="131">
      <c r="A131" s="9" t="inlineStr">
        <is>
          <t>TC-130</t>
        </is>
      </c>
      <c r="B131" s="9" t="inlineStr">
        <is>
          <t>Backup / Restore</t>
        </is>
      </c>
      <c r="C131" s="9" t="inlineStr">
        <is>
          <t>Undo restore</t>
        </is>
      </c>
      <c r="D131" s="9" t="inlineStr">
        <is>
          <t>Restore the 'Before a restore' backup</t>
        </is>
      </c>
      <c r="E131" s="9" t="inlineStr">
        <is>
          <t>Data from before the restore is back</t>
        </is>
      </c>
      <c r="F131" s="9" t="inlineStr">
        <is>
          <t>Medium</t>
        </is>
      </c>
      <c r="G131" s="10" t="inlineStr">
        <is>
          <t>Not run</t>
        </is>
      </c>
      <c r="H131" s="10" t="inlineStr"/>
      <c r="I131" s="11" t="inlineStr"/>
      <c r="J131" s="10" t="inlineStr"/>
    </row>
    <row r="132">
      <c r="A132" s="9" t="inlineStr">
        <is>
          <t>TC-131</t>
        </is>
      </c>
      <c r="B132" s="9" t="inlineStr">
        <is>
          <t>Backup / Restore</t>
        </is>
      </c>
      <c r="C132" s="9" t="inlineStr">
        <is>
          <t>Wrong file</t>
        </is>
      </c>
      <c r="D132" s="9" t="inlineStr">
        <is>
          <t>Restore From File &gt; choose a non-backup zip</t>
        </is>
      </c>
      <c r="E132" s="9" t="inlineStr">
        <is>
          <t>Clear error; nothing changed</t>
        </is>
      </c>
      <c r="F132" s="9" t="inlineStr">
        <is>
          <t>Medium</t>
        </is>
      </c>
      <c r="G132" s="10" t="inlineStr">
        <is>
          <t>Not run</t>
        </is>
      </c>
      <c r="H132" s="10" t="inlineStr"/>
      <c r="I132" s="11" t="inlineStr"/>
      <c r="J132" s="10" t="inlineStr"/>
    </row>
    <row r="133">
      <c r="A133" s="9" t="inlineStr">
        <is>
          <t>TC-132</t>
        </is>
      </c>
      <c r="B133" s="9" t="inlineStr">
        <is>
          <t>Application Settings</t>
        </is>
      </c>
      <c r="C133" s="9" t="inlineStr">
        <is>
          <t>Database check</t>
        </is>
      </c>
      <c r="D133" s="9" t="inlineStr">
        <is>
          <t>Application Settings &gt; Test Database</t>
        </is>
      </c>
      <c r="E133" s="9" t="inlineStr">
        <is>
          <t>All steps pass</t>
        </is>
      </c>
      <c r="F133" s="9" t="inlineStr">
        <is>
          <t>Medium</t>
        </is>
      </c>
      <c r="G133" s="10" t="inlineStr">
        <is>
          <t>Not run</t>
        </is>
      </c>
      <c r="H133" s="10" t="inlineStr"/>
      <c r="I133" s="11" t="inlineStr"/>
      <c r="J133" s="10" t="inlineStr"/>
    </row>
    <row r="134">
      <c r="A134" s="9" t="inlineStr">
        <is>
          <t>TC-133</t>
        </is>
      </c>
      <c r="B134" s="9" t="inlineStr">
        <is>
          <t>Application Settings</t>
        </is>
      </c>
      <c r="C134" s="9" t="inlineStr">
        <is>
          <t>User guide</t>
        </is>
      </c>
      <c r="D134" s="9" t="inlineStr">
        <is>
          <t>Application Settings &gt; User Guide</t>
        </is>
      </c>
      <c r="E134" s="9" t="inlineStr">
        <is>
          <t>User guide opens</t>
        </is>
      </c>
      <c r="F134" s="9" t="inlineStr">
        <is>
          <t>Low</t>
        </is>
      </c>
      <c r="G134" s="10" t="inlineStr">
        <is>
          <t>Not run</t>
        </is>
      </c>
      <c r="H134" s="10" t="inlineStr"/>
      <c r="I134" s="11" t="inlineStr"/>
      <c r="J134" s="10" t="inlineStr"/>
    </row>
    <row r="135">
      <c r="A135" s="9" t="inlineStr">
        <is>
          <t>TC-134</t>
        </is>
      </c>
      <c r="B135" s="9" t="inlineStr">
        <is>
          <t>General</t>
        </is>
      </c>
      <c r="C135" s="9" t="inlineStr">
        <is>
          <t>Menu fits screen</t>
        </is>
      </c>
      <c r="D135" s="9" t="inlineStr">
        <is>
          <t>Laptop 1366 x 768, maximised</t>
        </is>
      </c>
      <c r="E135" s="9" t="inlineStr">
        <is>
          <t>No scroll bar in the left menu</t>
        </is>
      </c>
      <c r="F135" s="9" t="inlineStr">
        <is>
          <t>Low</t>
        </is>
      </c>
      <c r="G135" s="10" t="inlineStr">
        <is>
          <t>Not run</t>
        </is>
      </c>
      <c r="H135" s="10" t="inlineStr"/>
      <c r="I135" s="11" t="inlineStr"/>
      <c r="J135" s="10" t="inlineStr"/>
    </row>
    <row r="136">
      <c r="A136" s="9" t="inlineStr">
        <is>
          <t>TC-135</t>
        </is>
      </c>
      <c r="B136" s="9" t="inlineStr">
        <is>
          <t>General</t>
        </is>
      </c>
      <c r="C136" s="9" t="inlineStr">
        <is>
          <t>No technical errors shown</t>
        </is>
      </c>
      <c r="D136" s="9" t="inlineStr">
        <is>
          <t>Cause errors (e.g. open the database in Access and save)</t>
        </is>
      </c>
      <c r="E136" s="9" t="inlineStr">
        <is>
          <t>Friendly message; details in Logs</t>
        </is>
      </c>
      <c r="F136" s="9" t="inlineStr">
        <is>
          <t>Medium</t>
        </is>
      </c>
      <c r="G136" s="10" t="inlineStr">
        <is>
          <t>Not run</t>
        </is>
      </c>
      <c r="H136" s="10" t="inlineStr"/>
      <c r="I136" s="11" t="inlineStr"/>
      <c r="J136" s="10" t="inlineStr"/>
    </row>
    <row r="137">
      <c r="A137" s="9" t="inlineStr">
        <is>
          <t>TC-136</t>
        </is>
      </c>
      <c r="B137" s="9" t="inlineStr">
        <is>
          <t>Uninstall</t>
        </is>
      </c>
      <c r="C137" s="9" t="inlineStr">
        <is>
          <t>Uninstall keeps data</t>
        </is>
      </c>
      <c r="D137" s="9" t="inlineStr">
        <is>
          <t>Settings &gt; Apps &gt; Uninstall</t>
        </is>
      </c>
      <c r="E137" s="9" t="inlineStr">
        <is>
          <t>Program removed; Database, Photos, Documents, Invoices, Receipts, Reports, Agreements, Backups kept</t>
        </is>
      </c>
      <c r="F137" s="9" t="inlineStr">
        <is>
          <t>High</t>
        </is>
      </c>
      <c r="G137" s="10" t="inlineStr">
        <is>
          <t>Not run</t>
        </is>
      </c>
      <c r="H137" s="10" t="inlineStr"/>
      <c r="I137" s="11" t="inlineStr"/>
      <c r="J137" s="10" t="inlineStr"/>
    </row>
    <row r="138">
      <c r="A138" s="9" t="inlineStr">
        <is>
          <t>TC-137</t>
        </is>
      </c>
      <c r="B138" s="9" t="inlineStr">
        <is>
          <t>Uninstall</t>
        </is>
      </c>
      <c r="C138" s="9" t="inlineStr">
        <is>
          <t>Reinstall uses old data</t>
        </is>
      </c>
      <c r="D138" s="9" t="inlineStr">
        <is>
          <t>Install again into C:\HostelManagement</t>
        </is>
      </c>
      <c r="E138" s="9" t="inlineStr">
        <is>
          <t>All data is back</t>
        </is>
      </c>
      <c r="F138" s="9" t="inlineStr">
        <is>
          <t>High</t>
        </is>
      </c>
      <c r="G138" s="10" t="inlineStr">
        <is>
          <t>Not run</t>
        </is>
      </c>
      <c r="H138" s="10" t="inlineStr"/>
      <c r="I138" s="11" t="inlineStr"/>
      <c r="J138" s="10" t="inlineStr"/>
    </row>
  </sheetData>
  <autoFilter ref="A1:J138"/>
  <conditionalFormatting sqref="G2:G13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G2:G138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55" customWidth="1" min="4" max="4"/>
    <col width="11" customWidth="1" min="5" max="5"/>
    <col width="30" customWidth="1" min="6" max="6"/>
  </cols>
  <sheetData>
    <row r="1">
      <c r="A1" s="12" t="inlineStr">
        <is>
          <t>Step</t>
        </is>
      </c>
      <c r="B1" s="12" t="inlineStr">
        <is>
          <t>Area</t>
        </is>
      </c>
      <c r="C1" s="12" t="inlineStr">
        <is>
          <t>Action</t>
        </is>
      </c>
      <c r="D1" s="12" t="inlineStr">
        <is>
          <t>Expected result</t>
        </is>
      </c>
      <c r="E1" s="12" t="inlineStr">
        <is>
          <t>Status</t>
        </is>
      </c>
      <c r="F1" s="12" t="inlineStr">
        <is>
          <t>Remarks</t>
        </is>
      </c>
    </row>
    <row r="2">
      <c r="A2" s="9" t="n">
        <v>1</v>
      </c>
      <c r="B2" s="9" t="inlineStr">
        <is>
          <t>Install</t>
        </is>
      </c>
      <c r="C2" s="9" t="inlineStr">
        <is>
          <t>Install the program and the Access Database Engine; start it</t>
        </is>
      </c>
      <c r="D2" s="9" t="inlineStr">
        <is>
          <t>Sign in screen with admin filled in</t>
        </is>
      </c>
      <c r="E2" s="10" t="inlineStr">
        <is>
          <t>Not run</t>
        </is>
      </c>
      <c r="F2" s="10" t="inlineStr"/>
    </row>
    <row r="3">
      <c r="A3" s="9" t="n">
        <v>2</v>
      </c>
      <c r="B3" s="9" t="inlineStr">
        <is>
          <t>Sign in</t>
        </is>
      </c>
      <c r="C3" s="9" t="inlineStr">
        <is>
          <t>Sign in with admin / admin</t>
        </is>
      </c>
      <c r="D3" s="9" t="inlineStr">
        <is>
          <t>Dashboard opens</t>
        </is>
      </c>
      <c r="E3" s="10" t="inlineStr">
        <is>
          <t>Not run</t>
        </is>
      </c>
      <c r="F3" s="10" t="inlineStr"/>
    </row>
    <row r="4">
      <c r="A4" s="9" t="n">
        <v>3</v>
      </c>
      <c r="B4" s="9" t="inlineStr">
        <is>
          <t>Admin</t>
        </is>
      </c>
      <c r="C4" s="9" t="inlineStr">
        <is>
          <t>Settings &gt; Admin Account: email, phone; change the password</t>
        </is>
      </c>
      <c r="D4" s="9" t="inlineStr">
        <is>
          <t>Saved; new password works at next sign in</t>
        </is>
      </c>
      <c r="E4" s="10" t="inlineStr">
        <is>
          <t>Not run</t>
        </is>
      </c>
      <c r="F4" s="10" t="inlineStr"/>
    </row>
    <row r="5">
      <c r="A5" s="9" t="n">
        <v>4</v>
      </c>
      <c r="B5" s="9" t="inlineStr">
        <is>
          <t>Email setup</t>
        </is>
      </c>
      <c r="C5" s="9" t="inlineStr">
        <is>
          <t>Email Settings: app password; Send Test Email</t>
        </is>
      </c>
      <c r="D5" s="9" t="inlineStr">
        <is>
          <t>Test email arrives</t>
        </is>
      </c>
      <c r="E5" s="10" t="inlineStr">
        <is>
          <t>Not run</t>
        </is>
      </c>
      <c r="F5" s="10" t="inlineStr"/>
    </row>
    <row r="6">
      <c r="A6" s="9" t="n">
        <v>5</v>
      </c>
      <c r="B6" s="9" t="inlineStr">
        <is>
          <t>Hostel</t>
        </is>
      </c>
      <c r="C6" s="9" t="inlineStr">
        <is>
          <t>Hostels: add Shri Balaji Boys Hostel, billing Twice a year</t>
        </is>
      </c>
      <c r="D6" s="9" t="inlineStr">
        <is>
          <t>Hostel selected at top right</t>
        </is>
      </c>
      <c r="E6" s="10" t="inlineStr">
        <is>
          <t>Not run</t>
        </is>
      </c>
      <c r="F6" s="10" t="inlineStr"/>
    </row>
    <row r="7">
      <c r="A7" s="9" t="n">
        <v>6</v>
      </c>
      <c r="B7" s="9" t="inlineStr">
        <is>
          <t>College</t>
        </is>
      </c>
      <c r="C7" s="9" t="inlineStr">
        <is>
          <t>Colleges: add BFIT</t>
        </is>
      </c>
      <c r="D7" s="9" t="inlineStr">
        <is>
          <t>College listed</t>
        </is>
      </c>
      <c r="E7" s="10" t="inlineStr">
        <is>
          <t>Not run</t>
        </is>
      </c>
      <c r="F7" s="10" t="inlineStr"/>
    </row>
    <row r="8">
      <c r="A8" s="9" t="n">
        <v>7</v>
      </c>
      <c r="B8" s="9" t="inlineStr">
        <is>
          <t>Rent</t>
        </is>
      </c>
      <c r="C8" s="9" t="inlineStr">
        <is>
          <t>Rooms: Double yearly rent 120000, Triple 90000</t>
        </is>
      </c>
      <c r="D8" s="9" t="inlineStr">
        <is>
          <t>Installments 60000 / 45000 shown</t>
        </is>
      </c>
      <c r="E8" s="10" t="inlineStr">
        <is>
          <t>Not run</t>
        </is>
      </c>
      <c r="F8" s="10" t="inlineStr"/>
    </row>
    <row r="9">
      <c r="A9" s="9" t="n">
        <v>8</v>
      </c>
      <c r="B9" s="9" t="inlineStr">
        <is>
          <t>Rooms</t>
        </is>
      </c>
      <c r="C9" s="9" t="inlineStr">
        <is>
          <t>Rooms: add 101 Double Boys, 102 Triple Boys</t>
        </is>
      </c>
      <c r="D9" s="9" t="inlineStr">
        <is>
          <t>Rooms listed with free beds</t>
        </is>
      </c>
      <c r="E9" s="10" t="inlineStr">
        <is>
          <t>Not run</t>
        </is>
      </c>
      <c r="F9" s="10" t="inlineStr"/>
    </row>
    <row r="10">
      <c r="A10" s="9" t="n">
        <v>9</v>
      </c>
      <c r="B10" s="9" t="inlineStr">
        <is>
          <t>Transport</t>
        </is>
      </c>
      <c r="C10" s="9" t="inlineStr">
        <is>
          <t>Services: Transport 1500 per month</t>
        </is>
      </c>
      <c r="D10" s="9" t="inlineStr">
        <is>
          <t>Saved</t>
        </is>
      </c>
      <c r="E10" s="10" t="inlineStr">
        <is>
          <t>Not run</t>
        </is>
      </c>
      <c r="F10" s="10" t="inlineStr"/>
    </row>
    <row r="11">
      <c r="A11" s="9" t="n">
        <v>10</v>
      </c>
      <c r="B11" s="9" t="inlineStr">
        <is>
          <t>Student</t>
        </is>
      </c>
      <c r="C11" s="9" t="inlineStr">
        <is>
          <t>Students: add Aman (photo, Aadhaar, parent with your test email, Transport ticked)</t>
        </is>
      </c>
      <c r="D11" s="9" t="inlineStr">
        <is>
          <t>Student Active</t>
        </is>
      </c>
      <c r="E11" s="10" t="inlineStr">
        <is>
          <t>Not run</t>
        </is>
      </c>
      <c r="F11" s="10" t="inlineStr"/>
    </row>
    <row r="12">
      <c r="A12" s="9" t="n">
        <v>11</v>
      </c>
      <c r="B12" s="9" t="inlineStr">
        <is>
          <t>Check-in</t>
        </is>
      </c>
      <c r="C12" s="9" t="inlineStr">
        <is>
          <t>Room Allocation: check in Aman to 101 bed 1</t>
        </is>
      </c>
      <c r="D12" s="9" t="inlineStr">
        <is>
          <t>101 shows 1 occupied, 1 free</t>
        </is>
      </c>
      <c r="E12" s="10" t="inlineStr">
        <is>
          <t>Not run</t>
        </is>
      </c>
      <c r="F12" s="10" t="inlineStr"/>
    </row>
    <row r="13">
      <c r="A13" s="9" t="n">
        <v>12</v>
      </c>
      <c r="B13" s="9" t="inlineStr">
        <is>
          <t>Agreement</t>
        </is>
      </c>
      <c r="C13" s="9" t="inlineStr">
        <is>
          <t>Accept the offer to create the agreement PDF</t>
        </is>
      </c>
      <c r="D13" s="9" t="inlineStr">
        <is>
          <t>Agreement shows Aman, room 101, bed 1, Rs. 1,38,000/- in words</t>
        </is>
      </c>
      <c r="E13" s="10" t="inlineStr">
        <is>
          <t>Not run</t>
        </is>
      </c>
      <c r="F13" s="10" t="inlineStr"/>
    </row>
    <row r="14">
      <c r="A14" s="9" t="n">
        <v>13</v>
      </c>
      <c r="B14" s="9" t="inlineStr">
        <is>
          <t>Attendance</t>
        </is>
      </c>
      <c r="C14" s="9" t="inlineStr">
        <is>
          <t>Attendance tonight: untick Aman &gt; Save &gt; Email Parents</t>
        </is>
      </c>
      <c r="D14" s="9" t="inlineStr">
        <is>
          <t>Absence email arrives at the parent's address and admin copy</t>
        </is>
      </c>
      <c r="E14" s="10" t="inlineStr">
        <is>
          <t>Not run</t>
        </is>
      </c>
      <c r="F14" s="10" t="inlineStr"/>
    </row>
    <row r="15">
      <c r="A15" s="9" t="n">
        <v>14</v>
      </c>
      <c r="B15" s="9" t="inlineStr">
        <is>
          <t>Invoice</t>
        </is>
      </c>
      <c r="C15" s="9" t="inlineStr">
        <is>
          <t>Invoices: create invoice for the current period</t>
        </is>
      </c>
      <c r="D15" s="9" t="inlineStr">
        <is>
          <t>Rent 60000 + transport months; number SBH/YYYY-YY/0001</t>
        </is>
      </c>
      <c r="E15" s="10" t="inlineStr">
        <is>
          <t>Not run</t>
        </is>
      </c>
      <c r="F15" s="10" t="inlineStr"/>
    </row>
    <row r="16">
      <c r="A16" s="9" t="n">
        <v>15</v>
      </c>
      <c r="B16" s="9" t="inlineStr">
        <is>
          <t>Email invoice</t>
        </is>
      </c>
      <c r="C16" s="9" t="inlineStr">
        <is>
          <t>Email the invoice</t>
        </is>
      </c>
      <c r="D16" s="9" t="inlineStr">
        <is>
          <t>Parent and admin receive the PDF</t>
        </is>
      </c>
      <c r="E16" s="10" t="inlineStr">
        <is>
          <t>Not run</t>
        </is>
      </c>
      <c r="F16" s="10" t="inlineStr"/>
    </row>
    <row r="17">
      <c r="A17" s="9" t="n">
        <v>16</v>
      </c>
      <c r="B17" s="9" t="inlineStr">
        <is>
          <t>Part payment</t>
        </is>
      </c>
      <c r="C17" s="9" t="inlineStr">
        <is>
          <t>Record Payment 25000 Cash</t>
        </is>
      </c>
      <c r="D17" s="9" t="inlineStr">
        <is>
          <t>Receipt SBH/R/..../0001; invoice Partly paid</t>
        </is>
      </c>
      <c r="E17" s="10" t="inlineStr">
        <is>
          <t>Not run</t>
        </is>
      </c>
      <c r="F17" s="10" t="inlineStr"/>
    </row>
    <row r="18">
      <c r="A18" s="9" t="n">
        <v>17</v>
      </c>
      <c r="B18" s="9" t="inlineStr">
        <is>
          <t>Email receipt</t>
        </is>
      </c>
      <c r="C18" s="9" t="inlineStr">
        <is>
          <t>Payments: Email Receipt</t>
        </is>
      </c>
      <c r="D18" s="9" t="inlineStr">
        <is>
          <t>Receipt PDF arrives</t>
        </is>
      </c>
      <c r="E18" s="10" t="inlineStr">
        <is>
          <t>Not run</t>
        </is>
      </c>
      <c r="F18" s="10" t="inlineStr"/>
    </row>
    <row r="19">
      <c r="A19" s="9" t="n">
        <v>18</v>
      </c>
      <c r="B19" s="9" t="inlineStr">
        <is>
          <t>Dues</t>
        </is>
      </c>
      <c r="C19" s="9" t="inlineStr">
        <is>
          <t>Pending Dues: Aman listed with 35000 pending (after 15 days: overdue, Send Reminder)</t>
        </is>
      </c>
      <c r="D19" s="9" t="inlineStr">
        <is>
          <t>Reminder email with invoice PDF</t>
        </is>
      </c>
      <c r="E19" s="10" t="inlineStr">
        <is>
          <t>Not run</t>
        </is>
      </c>
      <c r="F19" s="10" t="inlineStr"/>
    </row>
    <row r="20">
      <c r="A20" s="9" t="n">
        <v>19</v>
      </c>
      <c r="B20" s="9" t="inlineStr">
        <is>
          <t>Full payment</t>
        </is>
      </c>
      <c r="C20" s="9" t="inlineStr">
        <is>
          <t>Record the remaining 35000 by UPI with reference</t>
        </is>
      </c>
      <c r="D20" s="9" t="inlineStr">
        <is>
          <t>Invoice Paid; Aman leaves Pending Dues</t>
        </is>
      </c>
      <c r="E20" s="10" t="inlineStr">
        <is>
          <t>Not run</t>
        </is>
      </c>
      <c r="F20" s="10" t="inlineStr"/>
    </row>
    <row r="21">
      <c r="A21" s="9" t="n">
        <v>20</v>
      </c>
      <c r="B21" s="9" t="inlineStr">
        <is>
          <t>Dashboard</t>
        </is>
      </c>
      <c r="C21" s="9" t="inlineStr">
        <is>
          <t>Open Dashboard</t>
        </is>
      </c>
      <c r="D21" s="9" t="inlineStr">
        <is>
          <t>Figures and chart include the payments</t>
        </is>
      </c>
      <c r="E21" s="10" t="inlineStr">
        <is>
          <t>Not run</t>
        </is>
      </c>
      <c r="F21" s="10" t="inlineStr"/>
    </row>
    <row r="22">
      <c r="A22" s="9" t="n">
        <v>21</v>
      </c>
      <c r="B22" s="9" t="inlineStr">
        <is>
          <t>Reports</t>
        </is>
      </c>
      <c r="C22" s="9" t="inlineStr">
        <is>
          <t>Reports: Payments received this month &gt; Export Excel and PDF</t>
        </is>
      </c>
      <c r="D22" s="9" t="inlineStr">
        <is>
          <t>Both files open with correct totals</t>
        </is>
      </c>
      <c r="E22" s="10" t="inlineStr">
        <is>
          <t>Not run</t>
        </is>
      </c>
      <c r="F22" s="10" t="inlineStr"/>
    </row>
    <row r="23">
      <c r="A23" s="9" t="n">
        <v>22</v>
      </c>
      <c r="B23" s="9" t="inlineStr">
        <is>
          <t>Transfer</t>
        </is>
      </c>
      <c r="C23" s="9" t="inlineStr">
        <is>
          <t>Transfer Aman to 102 bed 2</t>
        </is>
      </c>
      <c r="D23" s="9" t="inlineStr">
        <is>
          <t>History shows Transferred; 102 occupied</t>
        </is>
      </c>
      <c r="E23" s="10" t="inlineStr">
        <is>
          <t>Not run</t>
        </is>
      </c>
      <c r="F23" s="10" t="inlineStr"/>
    </row>
    <row r="24">
      <c r="A24" s="9" t="n">
        <v>23</v>
      </c>
      <c r="B24" s="9" t="inlineStr">
        <is>
          <t>Backup</t>
        </is>
      </c>
      <c r="C24" s="9" t="inlineStr">
        <is>
          <t>Backup Now; close the program</t>
        </is>
      </c>
      <c r="D24" s="9" t="inlineStr">
        <is>
          <t>Manual and automatic backups listed</t>
        </is>
      </c>
      <c r="E24" s="10" t="inlineStr">
        <is>
          <t>Not run</t>
        </is>
      </c>
      <c r="F24" s="10" t="inlineStr"/>
    </row>
    <row r="25">
      <c r="A25" s="9" t="n">
        <v>24</v>
      </c>
      <c r="B25" s="9" t="inlineStr">
        <is>
          <t>Restore</t>
        </is>
      </c>
      <c r="C25" s="9" t="inlineStr">
        <is>
          <t>Add a test hostel; restore the manual backup</t>
        </is>
      </c>
      <c r="D25" s="9" t="inlineStr">
        <is>
          <t>Program restarts without the test hostel</t>
        </is>
      </c>
      <c r="E25" s="10" t="inlineStr">
        <is>
          <t>Not run</t>
        </is>
      </c>
      <c r="F25" s="10" t="inlineStr"/>
    </row>
    <row r="26">
      <c r="A26" s="9" t="n">
        <v>25</v>
      </c>
      <c r="B26" s="9" t="inlineStr">
        <is>
          <t>Check-out</t>
        </is>
      </c>
      <c r="C26" s="9" t="inlineStr">
        <is>
          <t>Check out Aman</t>
        </is>
      </c>
      <c r="D26" s="9" t="inlineStr">
        <is>
          <t>Status Left; bed free; not on tonight's attendance</t>
        </is>
      </c>
      <c r="E26" s="10" t="inlineStr">
        <is>
          <t>Not run</t>
        </is>
      </c>
      <c r="F26" s="10" t="inlineStr"/>
    </row>
    <row r="27">
      <c r="A27" s="9" t="n">
        <v>26</v>
      </c>
      <c r="B27" s="9" t="inlineStr">
        <is>
          <t>Uninstall / reinstall</t>
        </is>
      </c>
      <c r="C27" s="9" t="inlineStr">
        <is>
          <t>Uninstall, then install again</t>
        </is>
      </c>
      <c r="D27" s="9" t="inlineStr">
        <is>
          <t>All data still there</t>
        </is>
      </c>
      <c r="E27" s="10" t="inlineStr">
        <is>
          <t>Not run</t>
        </is>
      </c>
      <c r="F27" s="10" t="inlineStr"/>
    </row>
  </sheetData>
  <conditionalFormatting sqref="E2:E27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E2:E27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Module</t>
        </is>
      </c>
      <c r="B1" s="12" t="inlineStr">
        <is>
          <t>Test cases</t>
        </is>
      </c>
      <c r="C1" s="12" t="inlineStr">
        <is>
          <t>Pass</t>
        </is>
      </c>
      <c r="D1" s="12" t="inlineStr">
        <is>
          <t>Fail</t>
        </is>
      </c>
      <c r="E1" s="12" t="inlineStr">
        <is>
          <t>Blocked</t>
        </is>
      </c>
      <c r="F1" s="12" t="inlineStr">
        <is>
          <t>Not run</t>
        </is>
      </c>
      <c r="G1" s="12" t="inlineStr">
        <is>
          <t>% passed</t>
        </is>
      </c>
    </row>
    <row r="2">
      <c r="A2" s="13" t="inlineStr">
        <is>
          <t>Installation</t>
        </is>
      </c>
      <c r="B2" s="13">
        <f>COUNTIF('Test Cases'!$B$2:$B$138,A2)</f>
        <v/>
      </c>
      <c r="C2" s="13">
        <f>COUNTIFS('Test Cases'!$B$2:$B$138,$A2,'Test Cases'!$G$2:$G$138,"Pass")</f>
        <v/>
      </c>
      <c r="D2" s="13">
        <f>COUNTIFS('Test Cases'!$B$2:$B$138,$A2,'Test Cases'!$G$2:$G$138,"Fail")</f>
        <v/>
      </c>
      <c r="E2" s="13">
        <f>COUNTIFS('Test Cases'!$B$2:$B$138,$A2,'Test Cases'!$G$2:$G$138,"Blocked")</f>
        <v/>
      </c>
      <c r="F2" s="13">
        <f>COUNTIFS('Test Cases'!$B$2:$B$138,$A2,'Test Cases'!$G$2:$G$138,"Not run")</f>
        <v/>
      </c>
      <c r="G2" s="14">
        <f>IF(B2=0,0,C2/B2)</f>
        <v/>
      </c>
    </row>
    <row r="3">
      <c r="A3" s="13" t="inlineStr">
        <is>
          <t>Sign in</t>
        </is>
      </c>
      <c r="B3" s="13">
        <f>COUNTIF('Test Cases'!$B$2:$B$138,A3)</f>
        <v/>
      </c>
      <c r="C3" s="13">
        <f>COUNTIFS('Test Cases'!$B$2:$B$138,$A3,'Test Cases'!$G$2:$G$138,"Pass")</f>
        <v/>
      </c>
      <c r="D3" s="13">
        <f>COUNTIFS('Test Cases'!$B$2:$B$138,$A3,'Test Cases'!$G$2:$G$138,"Fail")</f>
        <v/>
      </c>
      <c r="E3" s="13">
        <f>COUNTIFS('Test Cases'!$B$2:$B$138,$A3,'Test Cases'!$G$2:$G$138,"Blocked")</f>
        <v/>
      </c>
      <c r="F3" s="13">
        <f>COUNTIFS('Test Cases'!$B$2:$B$138,$A3,'Test Cases'!$G$2:$G$138,"Not run")</f>
        <v/>
      </c>
      <c r="G3" s="14">
        <f>IF(B3=0,0,C3/B3)</f>
        <v/>
      </c>
    </row>
    <row r="4">
      <c r="A4" s="13" t="inlineStr">
        <is>
          <t>Admin Account</t>
        </is>
      </c>
      <c r="B4" s="13">
        <f>COUNTIF('Test Cases'!$B$2:$B$138,A4)</f>
        <v/>
      </c>
      <c r="C4" s="13">
        <f>COUNTIFS('Test Cases'!$B$2:$B$138,$A4,'Test Cases'!$G$2:$G$138,"Pass")</f>
        <v/>
      </c>
      <c r="D4" s="13">
        <f>COUNTIFS('Test Cases'!$B$2:$B$138,$A4,'Test Cases'!$G$2:$G$138,"Fail")</f>
        <v/>
      </c>
      <c r="E4" s="13">
        <f>COUNTIFS('Test Cases'!$B$2:$B$138,$A4,'Test Cases'!$G$2:$G$138,"Blocked")</f>
        <v/>
      </c>
      <c r="F4" s="13">
        <f>COUNTIFS('Test Cases'!$B$2:$B$138,$A4,'Test Cases'!$G$2:$G$138,"Not run")</f>
        <v/>
      </c>
      <c r="G4" s="14">
        <f>IF(B4=0,0,C4/B4)</f>
        <v/>
      </c>
    </row>
    <row r="5">
      <c r="A5" s="13" t="inlineStr">
        <is>
          <t>Hostels</t>
        </is>
      </c>
      <c r="B5" s="13">
        <f>COUNTIF('Test Cases'!$B$2:$B$138,A5)</f>
        <v/>
      </c>
      <c r="C5" s="13">
        <f>COUNTIFS('Test Cases'!$B$2:$B$138,$A5,'Test Cases'!$G$2:$G$138,"Pass")</f>
        <v/>
      </c>
      <c r="D5" s="13">
        <f>COUNTIFS('Test Cases'!$B$2:$B$138,$A5,'Test Cases'!$G$2:$G$138,"Fail")</f>
        <v/>
      </c>
      <c r="E5" s="13">
        <f>COUNTIFS('Test Cases'!$B$2:$B$138,$A5,'Test Cases'!$G$2:$G$138,"Blocked")</f>
        <v/>
      </c>
      <c r="F5" s="13">
        <f>COUNTIFS('Test Cases'!$B$2:$B$138,$A5,'Test Cases'!$G$2:$G$138,"Not run")</f>
        <v/>
      </c>
      <c r="G5" s="14">
        <f>IF(B5=0,0,C5/B5)</f>
        <v/>
      </c>
    </row>
    <row r="6">
      <c r="A6" s="13" t="inlineStr">
        <is>
          <t>Colleges</t>
        </is>
      </c>
      <c r="B6" s="13">
        <f>COUNTIF('Test Cases'!$B$2:$B$138,A6)</f>
        <v/>
      </c>
      <c r="C6" s="13">
        <f>COUNTIFS('Test Cases'!$B$2:$B$138,$A6,'Test Cases'!$G$2:$G$138,"Pass")</f>
        <v/>
      </c>
      <c r="D6" s="13">
        <f>COUNTIFS('Test Cases'!$B$2:$B$138,$A6,'Test Cases'!$G$2:$G$138,"Fail")</f>
        <v/>
      </c>
      <c r="E6" s="13">
        <f>COUNTIFS('Test Cases'!$B$2:$B$138,$A6,'Test Cases'!$G$2:$G$138,"Blocked")</f>
        <v/>
      </c>
      <c r="F6" s="13">
        <f>COUNTIFS('Test Cases'!$B$2:$B$138,$A6,'Test Cases'!$G$2:$G$138,"Not run")</f>
        <v/>
      </c>
      <c r="G6" s="14">
        <f>IF(B6=0,0,C6/B6)</f>
        <v/>
      </c>
    </row>
    <row r="7">
      <c r="A7" s="13" t="inlineStr">
        <is>
          <t>Rooms</t>
        </is>
      </c>
      <c r="B7" s="13">
        <f>COUNTIF('Test Cases'!$B$2:$B$138,A7)</f>
        <v/>
      </c>
      <c r="C7" s="13">
        <f>COUNTIFS('Test Cases'!$B$2:$B$138,$A7,'Test Cases'!$G$2:$G$138,"Pass")</f>
        <v/>
      </c>
      <c r="D7" s="13">
        <f>COUNTIFS('Test Cases'!$B$2:$B$138,$A7,'Test Cases'!$G$2:$G$138,"Fail")</f>
        <v/>
      </c>
      <c r="E7" s="13">
        <f>COUNTIFS('Test Cases'!$B$2:$B$138,$A7,'Test Cases'!$G$2:$G$138,"Blocked")</f>
        <v/>
      </c>
      <c r="F7" s="13">
        <f>COUNTIFS('Test Cases'!$B$2:$B$138,$A7,'Test Cases'!$G$2:$G$138,"Not run")</f>
        <v/>
      </c>
      <c r="G7" s="14">
        <f>IF(B7=0,0,C7/B7)</f>
        <v/>
      </c>
    </row>
    <row r="8">
      <c r="A8" s="13" t="inlineStr">
        <is>
          <t>Services</t>
        </is>
      </c>
      <c r="B8" s="13">
        <f>COUNTIF('Test Cases'!$B$2:$B$138,A8)</f>
        <v/>
      </c>
      <c r="C8" s="13">
        <f>COUNTIFS('Test Cases'!$B$2:$B$138,$A8,'Test Cases'!$G$2:$G$138,"Pass")</f>
        <v/>
      </c>
      <c r="D8" s="13">
        <f>COUNTIFS('Test Cases'!$B$2:$B$138,$A8,'Test Cases'!$G$2:$G$138,"Fail")</f>
        <v/>
      </c>
      <c r="E8" s="13">
        <f>COUNTIFS('Test Cases'!$B$2:$B$138,$A8,'Test Cases'!$G$2:$G$138,"Blocked")</f>
        <v/>
      </c>
      <c r="F8" s="13">
        <f>COUNTIFS('Test Cases'!$B$2:$B$138,$A8,'Test Cases'!$G$2:$G$138,"Not run")</f>
        <v/>
      </c>
      <c r="G8" s="14">
        <f>IF(B8=0,0,C8/B8)</f>
        <v/>
      </c>
    </row>
    <row r="9">
      <c r="A9" s="13" t="inlineStr">
        <is>
          <t>Students</t>
        </is>
      </c>
      <c r="B9" s="13">
        <f>COUNTIF('Test Cases'!$B$2:$B$138,A9)</f>
        <v/>
      </c>
      <c r="C9" s="13">
        <f>COUNTIFS('Test Cases'!$B$2:$B$138,$A9,'Test Cases'!$G$2:$G$138,"Pass")</f>
        <v/>
      </c>
      <c r="D9" s="13">
        <f>COUNTIFS('Test Cases'!$B$2:$B$138,$A9,'Test Cases'!$G$2:$G$138,"Fail")</f>
        <v/>
      </c>
      <c r="E9" s="13">
        <f>COUNTIFS('Test Cases'!$B$2:$B$138,$A9,'Test Cases'!$G$2:$G$138,"Blocked")</f>
        <v/>
      </c>
      <c r="F9" s="13">
        <f>COUNTIFS('Test Cases'!$B$2:$B$138,$A9,'Test Cases'!$G$2:$G$138,"Not run")</f>
        <v/>
      </c>
      <c r="G9" s="14">
        <f>IF(B9=0,0,C9/B9)</f>
        <v/>
      </c>
    </row>
    <row r="10">
      <c r="A10" s="13" t="inlineStr">
        <is>
          <t>Parents</t>
        </is>
      </c>
      <c r="B10" s="13">
        <f>COUNTIF('Test Cases'!$B$2:$B$138,A10)</f>
        <v/>
      </c>
      <c r="C10" s="13">
        <f>COUNTIFS('Test Cases'!$B$2:$B$138,$A10,'Test Cases'!$G$2:$G$138,"Pass")</f>
        <v/>
      </c>
      <c r="D10" s="13">
        <f>COUNTIFS('Test Cases'!$B$2:$B$138,$A10,'Test Cases'!$G$2:$G$138,"Fail")</f>
        <v/>
      </c>
      <c r="E10" s="13">
        <f>COUNTIFS('Test Cases'!$B$2:$B$138,$A10,'Test Cases'!$G$2:$G$138,"Blocked")</f>
        <v/>
      </c>
      <c r="F10" s="13">
        <f>COUNTIFS('Test Cases'!$B$2:$B$138,$A10,'Test Cases'!$G$2:$G$138,"Not run")</f>
        <v/>
      </c>
      <c r="G10" s="14">
        <f>IF(B10=0,0,C10/B10)</f>
        <v/>
      </c>
    </row>
    <row r="11">
      <c r="A11" s="13" t="inlineStr">
        <is>
          <t>Room Allocation</t>
        </is>
      </c>
      <c r="B11" s="13">
        <f>COUNTIF('Test Cases'!$B$2:$B$138,A11)</f>
        <v/>
      </c>
      <c r="C11" s="13">
        <f>COUNTIFS('Test Cases'!$B$2:$B$138,$A11,'Test Cases'!$G$2:$G$138,"Pass")</f>
        <v/>
      </c>
      <c r="D11" s="13">
        <f>COUNTIFS('Test Cases'!$B$2:$B$138,$A11,'Test Cases'!$G$2:$G$138,"Fail")</f>
        <v/>
      </c>
      <c r="E11" s="13">
        <f>COUNTIFS('Test Cases'!$B$2:$B$138,$A11,'Test Cases'!$G$2:$G$138,"Blocked")</f>
        <v/>
      </c>
      <c r="F11" s="13">
        <f>COUNTIFS('Test Cases'!$B$2:$B$138,$A11,'Test Cases'!$G$2:$G$138,"Not run")</f>
        <v/>
      </c>
      <c r="G11" s="14">
        <f>IF(B11=0,0,C11/B11)</f>
        <v/>
      </c>
    </row>
    <row r="12">
      <c r="A12" s="13" t="inlineStr">
        <is>
          <t>Agreement</t>
        </is>
      </c>
      <c r="B12" s="13">
        <f>COUNTIF('Test Cases'!$B$2:$B$138,A12)</f>
        <v/>
      </c>
      <c r="C12" s="13">
        <f>COUNTIFS('Test Cases'!$B$2:$B$138,$A12,'Test Cases'!$G$2:$G$138,"Pass")</f>
        <v/>
      </c>
      <c r="D12" s="13">
        <f>COUNTIFS('Test Cases'!$B$2:$B$138,$A12,'Test Cases'!$G$2:$G$138,"Fail")</f>
        <v/>
      </c>
      <c r="E12" s="13">
        <f>COUNTIFS('Test Cases'!$B$2:$B$138,$A12,'Test Cases'!$G$2:$G$138,"Blocked")</f>
        <v/>
      </c>
      <c r="F12" s="13">
        <f>COUNTIFS('Test Cases'!$B$2:$B$138,$A12,'Test Cases'!$G$2:$G$138,"Not run")</f>
        <v/>
      </c>
      <c r="G12" s="14">
        <f>IF(B12=0,0,C12/B12)</f>
        <v/>
      </c>
    </row>
    <row r="13">
      <c r="A13" s="13" t="inlineStr">
        <is>
          <t>Attendance</t>
        </is>
      </c>
      <c r="B13" s="13">
        <f>COUNTIF('Test Cases'!$B$2:$B$138,A13)</f>
        <v/>
      </c>
      <c r="C13" s="13">
        <f>COUNTIFS('Test Cases'!$B$2:$B$138,$A13,'Test Cases'!$G$2:$G$138,"Pass")</f>
        <v/>
      </c>
      <c r="D13" s="13">
        <f>COUNTIFS('Test Cases'!$B$2:$B$138,$A13,'Test Cases'!$G$2:$G$138,"Fail")</f>
        <v/>
      </c>
      <c r="E13" s="13">
        <f>COUNTIFS('Test Cases'!$B$2:$B$138,$A13,'Test Cases'!$G$2:$G$138,"Blocked")</f>
        <v/>
      </c>
      <c r="F13" s="13">
        <f>COUNTIFS('Test Cases'!$B$2:$B$138,$A13,'Test Cases'!$G$2:$G$138,"Not run")</f>
        <v/>
      </c>
      <c r="G13" s="14">
        <f>IF(B13=0,0,C13/B13)</f>
        <v/>
      </c>
    </row>
    <row r="14">
      <c r="A14" s="13" t="inlineStr">
        <is>
          <t>Invoices</t>
        </is>
      </c>
      <c r="B14" s="13">
        <f>COUNTIF('Test Cases'!$B$2:$B$138,A14)</f>
        <v/>
      </c>
      <c r="C14" s="13">
        <f>COUNTIFS('Test Cases'!$B$2:$B$138,$A14,'Test Cases'!$G$2:$G$138,"Pass")</f>
        <v/>
      </c>
      <c r="D14" s="13">
        <f>COUNTIFS('Test Cases'!$B$2:$B$138,$A14,'Test Cases'!$G$2:$G$138,"Fail")</f>
        <v/>
      </c>
      <c r="E14" s="13">
        <f>COUNTIFS('Test Cases'!$B$2:$B$138,$A14,'Test Cases'!$G$2:$G$138,"Blocked")</f>
        <v/>
      </c>
      <c r="F14" s="13">
        <f>COUNTIFS('Test Cases'!$B$2:$B$138,$A14,'Test Cases'!$G$2:$G$138,"Not run")</f>
        <v/>
      </c>
      <c r="G14" s="14">
        <f>IF(B14=0,0,C14/B14)</f>
        <v/>
      </c>
    </row>
    <row r="15">
      <c r="A15" s="13" t="inlineStr">
        <is>
          <t>Payments</t>
        </is>
      </c>
      <c r="B15" s="13">
        <f>COUNTIF('Test Cases'!$B$2:$B$138,A15)</f>
        <v/>
      </c>
      <c r="C15" s="13">
        <f>COUNTIFS('Test Cases'!$B$2:$B$138,$A15,'Test Cases'!$G$2:$G$138,"Pass")</f>
        <v/>
      </c>
      <c r="D15" s="13">
        <f>COUNTIFS('Test Cases'!$B$2:$B$138,$A15,'Test Cases'!$G$2:$G$138,"Fail")</f>
        <v/>
      </c>
      <c r="E15" s="13">
        <f>COUNTIFS('Test Cases'!$B$2:$B$138,$A15,'Test Cases'!$G$2:$G$138,"Blocked")</f>
        <v/>
      </c>
      <c r="F15" s="13">
        <f>COUNTIFS('Test Cases'!$B$2:$B$138,$A15,'Test Cases'!$G$2:$G$138,"Not run")</f>
        <v/>
      </c>
      <c r="G15" s="14">
        <f>IF(B15=0,0,C15/B15)</f>
        <v/>
      </c>
    </row>
    <row r="16">
      <c r="A16" s="13" t="inlineStr">
        <is>
          <t>Pending Dues</t>
        </is>
      </c>
      <c r="B16" s="13">
        <f>COUNTIF('Test Cases'!$B$2:$B$138,A16)</f>
        <v/>
      </c>
      <c r="C16" s="13">
        <f>COUNTIFS('Test Cases'!$B$2:$B$138,$A16,'Test Cases'!$G$2:$G$138,"Pass")</f>
        <v/>
      </c>
      <c r="D16" s="13">
        <f>COUNTIFS('Test Cases'!$B$2:$B$138,$A16,'Test Cases'!$G$2:$G$138,"Fail")</f>
        <v/>
      </c>
      <c r="E16" s="13">
        <f>COUNTIFS('Test Cases'!$B$2:$B$138,$A16,'Test Cases'!$G$2:$G$138,"Blocked")</f>
        <v/>
      </c>
      <c r="F16" s="13">
        <f>COUNTIFS('Test Cases'!$B$2:$B$138,$A16,'Test Cases'!$G$2:$G$138,"Not run")</f>
        <v/>
      </c>
      <c r="G16" s="14">
        <f>IF(B16=0,0,C16/B16)</f>
        <v/>
      </c>
    </row>
    <row r="17">
      <c r="A17" s="13" t="inlineStr">
        <is>
          <t>Email</t>
        </is>
      </c>
      <c r="B17" s="13">
        <f>COUNTIF('Test Cases'!$B$2:$B$138,A17)</f>
        <v/>
      </c>
      <c r="C17" s="13">
        <f>COUNTIFS('Test Cases'!$B$2:$B$138,$A17,'Test Cases'!$G$2:$G$138,"Pass")</f>
        <v/>
      </c>
      <c r="D17" s="13">
        <f>COUNTIFS('Test Cases'!$B$2:$B$138,$A17,'Test Cases'!$G$2:$G$138,"Fail")</f>
        <v/>
      </c>
      <c r="E17" s="13">
        <f>COUNTIFS('Test Cases'!$B$2:$B$138,$A17,'Test Cases'!$G$2:$G$138,"Blocked")</f>
        <v/>
      </c>
      <c r="F17" s="13">
        <f>COUNTIFS('Test Cases'!$B$2:$B$138,$A17,'Test Cases'!$G$2:$G$138,"Not run")</f>
        <v/>
      </c>
      <c r="G17" s="14">
        <f>IF(B17=0,0,C17/B17)</f>
        <v/>
      </c>
    </row>
    <row r="18">
      <c r="A18" s="13" t="inlineStr">
        <is>
          <t>Dashboard</t>
        </is>
      </c>
      <c r="B18" s="13">
        <f>COUNTIF('Test Cases'!$B$2:$B$138,A18)</f>
        <v/>
      </c>
      <c r="C18" s="13">
        <f>COUNTIFS('Test Cases'!$B$2:$B$138,$A18,'Test Cases'!$G$2:$G$138,"Pass")</f>
        <v/>
      </c>
      <c r="D18" s="13">
        <f>COUNTIFS('Test Cases'!$B$2:$B$138,$A18,'Test Cases'!$G$2:$G$138,"Fail")</f>
        <v/>
      </c>
      <c r="E18" s="13">
        <f>COUNTIFS('Test Cases'!$B$2:$B$138,$A18,'Test Cases'!$G$2:$G$138,"Blocked")</f>
        <v/>
      </c>
      <c r="F18" s="13">
        <f>COUNTIFS('Test Cases'!$B$2:$B$138,$A18,'Test Cases'!$G$2:$G$138,"Not run")</f>
        <v/>
      </c>
      <c r="G18" s="14">
        <f>IF(B18=0,0,C18/B18)</f>
        <v/>
      </c>
    </row>
    <row r="19">
      <c r="A19" s="13" t="inlineStr">
        <is>
          <t>Reports</t>
        </is>
      </c>
      <c r="B19" s="13">
        <f>COUNTIF('Test Cases'!$B$2:$B$138,A19)</f>
        <v/>
      </c>
      <c r="C19" s="13">
        <f>COUNTIFS('Test Cases'!$B$2:$B$138,$A19,'Test Cases'!$G$2:$G$138,"Pass")</f>
        <v/>
      </c>
      <c r="D19" s="13">
        <f>COUNTIFS('Test Cases'!$B$2:$B$138,$A19,'Test Cases'!$G$2:$G$138,"Fail")</f>
        <v/>
      </c>
      <c r="E19" s="13">
        <f>COUNTIFS('Test Cases'!$B$2:$B$138,$A19,'Test Cases'!$G$2:$G$138,"Blocked")</f>
        <v/>
      </c>
      <c r="F19" s="13">
        <f>COUNTIFS('Test Cases'!$B$2:$B$138,$A19,'Test Cases'!$G$2:$G$138,"Not run")</f>
        <v/>
      </c>
      <c r="G19" s="14">
        <f>IF(B19=0,0,C19/B19)</f>
        <v/>
      </c>
    </row>
    <row r="20">
      <c r="A20" s="13" t="inlineStr">
        <is>
          <t>Backup / Restore</t>
        </is>
      </c>
      <c r="B20" s="13">
        <f>COUNTIF('Test Cases'!$B$2:$B$138,A20)</f>
        <v/>
      </c>
      <c r="C20" s="13">
        <f>COUNTIFS('Test Cases'!$B$2:$B$138,$A20,'Test Cases'!$G$2:$G$138,"Pass")</f>
        <v/>
      </c>
      <c r="D20" s="13">
        <f>COUNTIFS('Test Cases'!$B$2:$B$138,$A20,'Test Cases'!$G$2:$G$138,"Fail")</f>
        <v/>
      </c>
      <c r="E20" s="13">
        <f>COUNTIFS('Test Cases'!$B$2:$B$138,$A20,'Test Cases'!$G$2:$G$138,"Blocked")</f>
        <v/>
      </c>
      <c r="F20" s="13">
        <f>COUNTIFS('Test Cases'!$B$2:$B$138,$A20,'Test Cases'!$G$2:$G$138,"Not run")</f>
        <v/>
      </c>
      <c r="G20" s="14">
        <f>IF(B20=0,0,C20/B20)</f>
        <v/>
      </c>
    </row>
    <row r="21">
      <c r="A21" s="13" t="inlineStr">
        <is>
          <t>Application Settings</t>
        </is>
      </c>
      <c r="B21" s="13">
        <f>COUNTIF('Test Cases'!$B$2:$B$138,A21)</f>
        <v/>
      </c>
      <c r="C21" s="13">
        <f>COUNTIFS('Test Cases'!$B$2:$B$138,$A21,'Test Cases'!$G$2:$G$138,"Pass")</f>
        <v/>
      </c>
      <c r="D21" s="13">
        <f>COUNTIFS('Test Cases'!$B$2:$B$138,$A21,'Test Cases'!$G$2:$G$138,"Fail")</f>
        <v/>
      </c>
      <c r="E21" s="13">
        <f>COUNTIFS('Test Cases'!$B$2:$B$138,$A21,'Test Cases'!$G$2:$G$138,"Blocked")</f>
        <v/>
      </c>
      <c r="F21" s="13">
        <f>COUNTIFS('Test Cases'!$B$2:$B$138,$A21,'Test Cases'!$G$2:$G$138,"Not run")</f>
        <v/>
      </c>
      <c r="G21" s="14">
        <f>IF(B21=0,0,C21/B21)</f>
        <v/>
      </c>
    </row>
    <row r="22">
      <c r="A22" s="13" t="inlineStr">
        <is>
          <t>General</t>
        </is>
      </c>
      <c r="B22" s="13">
        <f>COUNTIF('Test Cases'!$B$2:$B$138,A22)</f>
        <v/>
      </c>
      <c r="C22" s="13">
        <f>COUNTIFS('Test Cases'!$B$2:$B$138,$A22,'Test Cases'!$G$2:$G$138,"Pass")</f>
        <v/>
      </c>
      <c r="D22" s="13">
        <f>COUNTIFS('Test Cases'!$B$2:$B$138,$A22,'Test Cases'!$G$2:$G$138,"Fail")</f>
        <v/>
      </c>
      <c r="E22" s="13">
        <f>COUNTIFS('Test Cases'!$B$2:$B$138,$A22,'Test Cases'!$G$2:$G$138,"Blocked")</f>
        <v/>
      </c>
      <c r="F22" s="13">
        <f>COUNTIFS('Test Cases'!$B$2:$B$138,$A22,'Test Cases'!$G$2:$G$138,"Not run")</f>
        <v/>
      </c>
      <c r="G22" s="14">
        <f>IF(B22=0,0,C22/B22)</f>
        <v/>
      </c>
    </row>
    <row r="23">
      <c r="A23" s="13" t="inlineStr">
        <is>
          <t>Uninstall</t>
        </is>
      </c>
      <c r="B23" s="13">
        <f>COUNTIF('Test Cases'!$B$2:$B$138,A23)</f>
        <v/>
      </c>
      <c r="C23" s="13">
        <f>COUNTIFS('Test Cases'!$B$2:$B$138,$A23,'Test Cases'!$G$2:$G$138,"Pass")</f>
        <v/>
      </c>
      <c r="D23" s="13">
        <f>COUNTIFS('Test Cases'!$B$2:$B$138,$A23,'Test Cases'!$G$2:$G$138,"Fail")</f>
        <v/>
      </c>
      <c r="E23" s="13">
        <f>COUNTIFS('Test Cases'!$B$2:$B$138,$A23,'Test Cases'!$G$2:$G$138,"Blocked")</f>
        <v/>
      </c>
      <c r="F23" s="13">
        <f>COUNTIFS('Test Cases'!$B$2:$B$138,$A23,'Test Cases'!$G$2:$G$138,"Not run")</f>
        <v/>
      </c>
      <c r="G23" s="14">
        <f>IF(B23=0,0,C23/B23)</f>
        <v/>
      </c>
    </row>
    <row r="24">
      <c r="A24" s="15" t="inlineStr">
        <is>
          <t>Total</t>
        </is>
      </c>
      <c r="B24" s="15">
        <f>SUM(B2:B23)</f>
        <v/>
      </c>
      <c r="C24" s="15">
        <f>SUM(C2:C23)</f>
        <v/>
      </c>
      <c r="D24" s="15">
        <f>SUM(D2:D23)</f>
        <v/>
      </c>
      <c r="E24" s="15">
        <f>SUM(E2:E23)</f>
        <v/>
      </c>
      <c r="F24" s="15">
        <f>SUM(F2:F23)</f>
        <v/>
      </c>
      <c r="G24" s="16">
        <f>IF(B24=0,0,C24/B24)</f>
        <v/>
      </c>
    </row>
    <row r="25">
      <c r="A25" s="13" t="n"/>
      <c r="B25" s="13" t="n"/>
      <c r="C25" s="13" t="n"/>
      <c r="D25" s="13" t="n"/>
      <c r="E25" s="13" t="n"/>
      <c r="F25" s="13" t="n"/>
      <c r="G25" s="14" t="n"/>
    </row>
    <row r="26">
      <c r="A26" s="15" t="inlineStr">
        <is>
          <t>End-to-end workflow steps</t>
        </is>
      </c>
      <c r="B26" s="15">
        <f>COUNTA('End-to-End Workflow'!$A$2:$A$27)</f>
        <v/>
      </c>
      <c r="C26" s="15">
        <f>COUNTIF('End-to-End Workflow'!$E$2:$E$27,"Pass")</f>
        <v/>
      </c>
      <c r="D26" s="15">
        <f>COUNTIF('End-to-End Workflow'!$E$2:$E$27,"Fail")</f>
        <v/>
      </c>
      <c r="E26" s="15">
        <f>COUNTIF('End-to-End Workflow'!$E$2:$E$27,"Blocked")</f>
        <v/>
      </c>
      <c r="F26" s="15">
        <f>COUNTIF('End-to-End Workflow'!$E$2:$E$27,"Not run")</f>
        <v/>
      </c>
      <c r="G26" s="16">
        <f>IF(B26=0,0,C26/B26)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2026-10-08T06:06:59Z</dcterms:created>
  <dcterms:modified xsi:type="dcterms:W3CDTF">2026-10-08T06:06:59Z</dcterms:modified>
</cp:coreProperties>
</file>